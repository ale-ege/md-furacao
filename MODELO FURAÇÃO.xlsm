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media/image1.png" ContentType="image/png"/>
  <Override PartName="/xl/media/image2.png" ContentType="image/png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_rels/drawing1.xml.rels" ContentType="application/vnd.openxmlformats-package.relationships+xml"/>
  <Override PartName="/xl/drawings/_rels/drawing2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Leitura .bpp --&gt; .csv" sheetId="1" state="visible" r:id="rId2"/>
    <sheet name="Modelo" sheetId="2" state="visible" r:id="rId3"/>
    <sheet name="Desenho 2D" sheetId="3" state="visible" r:id="rId4"/>
    <sheet name="Linguagem skiper" sheetId="4" state="visible" r:id="rId5"/>
    <sheet name="Dados extraidos" sheetId="5" state="visible" r:id="rId6"/>
    <sheet name="VARIÁVEIS" sheetId="6" state="visible" r:id="rId7"/>
  </sheets>
  <calcPr iterateCount="100" refMode="A1" iterate="false" iterateDelta="0.0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<sst xmlns="http://schemas.openxmlformats.org/spreadsheetml/2006/main" count="184" uniqueCount="112">
  <si>
    <t xml:space="preserve">Cabeçalho</t>
  </si>
  <si>
    <t xml:space="preserve">SIDE</t>
  </si>
  <si>
    <t xml:space="preserve">CRN</t>
  </si>
  <si>
    <t xml:space="preserve">X</t>
  </si>
  <si>
    <t xml:space="preserve">Y</t>
  </si>
  <si>
    <t xml:space="preserve">DP</t>
  </si>
  <si>
    <t xml:space="preserve">DIA</t>
  </si>
  <si>
    <t xml:space="preserve">P</t>
  </si>
  <si>
    <t xml:space="preserve">[HEADER]</t>
  </si>
  <si>
    <t xml:space="preserve">TYPE=BPP</t>
  </si>
  <si>
    <t xml:space="preserve">VER=150</t>
  </si>
  <si>
    <t xml:space="preserve">[DESCRIPTION]</t>
  </si>
  <si>
    <t xml:space="preserve">|</t>
  </si>
  <si>
    <t xml:space="preserve">[VARIABLES]</t>
  </si>
  <si>
    <t xml:space="preserve">PAN=LPX|2280.000000||4|</t>
  </si>
  <si>
    <t xml:space="preserve">PAN=LPY|440.000000||4|</t>
  </si>
  <si>
    <t xml:space="preserve">PAN=LPZ|15.000000||4|</t>
  </si>
  <si>
    <t xml:space="preserve">PAN=ORLST|"1"||3|</t>
  </si>
  <si>
    <t xml:space="preserve">PAN=SIMMETRY|0||1|</t>
  </si>
  <si>
    <t xml:space="preserve">PAN=TLCHK|0||1|</t>
  </si>
  <si>
    <t xml:space="preserve">PAN=TOOLING|""||3|</t>
  </si>
  <si>
    <t xml:space="preserve">PAN=CUSTSTR|$B$KBsSkipperProcessor1.PreProc$V""||3|</t>
  </si>
  <si>
    <t xml:space="preserve">PAN=FCN|1.000000||2|</t>
  </si>
  <si>
    <t xml:space="preserve">PAN=XCUT|0||4|</t>
  </si>
  <si>
    <t xml:space="preserve">PAN=YCUT|0||4|</t>
  </si>
  <si>
    <t xml:space="preserve">PAN=JIGTH|0||4|</t>
  </si>
  <si>
    <t xml:space="preserve">PAN=CKOP|0||1|</t>
  </si>
  <si>
    <t xml:space="preserve">PAN=UNIQUE|0||1|</t>
  </si>
  <si>
    <t xml:space="preserve">PAN=MATERIAL|"wood"||3|</t>
  </si>
  <si>
    <t xml:space="preserve">PAN=PUTLST|"2"||3|</t>
  </si>
  <si>
    <t xml:space="preserve">PAN=OPPWKRS|1||1|</t>
  </si>
  <si>
    <t xml:space="preserve">PAN=UNICLAMP|0||1|</t>
  </si>
  <si>
    <t xml:space="preserve">PAN=CHKCOLL|0||1|</t>
  </si>
  <si>
    <t xml:space="preserve">PAN=WTPIANI|0||1|</t>
  </si>
  <si>
    <t xml:space="preserve">PAN=COLLTOOL|0||1|</t>
  </si>
  <si>
    <t xml:space="preserve">PAN=CALCEDTH|0||1|</t>
  </si>
  <si>
    <t xml:space="preserve">PAN=ENABLELABEL|0||1|</t>
  </si>
  <si>
    <t xml:space="preserve">PAN=LOCKWASTE|0||1|</t>
  </si>
  <si>
    <t xml:space="preserve">PAN=LOADEDGEOPT|0||1|</t>
  </si>
  <si>
    <t xml:space="preserve">PAN=ITLTYPE|0||1|</t>
  </si>
  <si>
    <t xml:space="preserve">PAN=RUNPAV|0||1|</t>
  </si>
  <si>
    <t xml:space="preserve">PAN=FLIPEND|0||1|</t>
  </si>
  <si>
    <t xml:space="preserve">PAN=ENABLEMACHLINKS|0||1|</t>
  </si>
  <si>
    <t xml:space="preserve">PAN=ENABLEPURSUITS|0||1|</t>
  </si>
  <si>
    <t xml:space="preserve">PAN=ENABLEFASTVERTBORINGS|0||1|</t>
  </si>
  <si>
    <t xml:space="preserve">PAN=FASTVERTBORINGSVALUE|0||4|</t>
  </si>
  <si>
    <t xml:space="preserve">[PROGRAM]</t>
  </si>
  <si>
    <t xml:space="preserve">'TAMPO MAL 15X440X2280</t>
  </si>
  <si>
    <t xml:space="preserve">@ BG</t>
  </si>
  <si>
    <t xml:space="preserve"> 0 : 1</t>
  </si>
  <si>
    <t xml:space="preserve"> 7.5</t>
  </si>
  <si>
    <t xml:space="preserve">P1013</t>
  </si>
  <si>
    <t xml:space="preserve">TCHW1B2D750</t>
  </si>
  <si>
    <t xml:space="preserve"> 3.5</t>
  </si>
  <si>
    <t xml:space="preserve">P1015</t>
  </si>
  <si>
    <t xml:space="preserve">P1014</t>
  </si>
  <si>
    <t xml:space="preserve">P1012</t>
  </si>
  <si>
    <t xml:space="preserve"> 0 : 0</t>
  </si>
  <si>
    <t xml:space="preserve"> 757.5</t>
  </si>
  <si>
    <t xml:space="preserve">P1001</t>
  </si>
  <si>
    <t xml:space="preserve">TCHW5B2D1200</t>
  </si>
  <si>
    <t xml:space="preserve">P1016</t>
  </si>
  <si>
    <t xml:space="preserve">TCHW0B2PT1</t>
  </si>
  <si>
    <t xml:space="preserve">P1018</t>
  </si>
  <si>
    <t xml:space="preserve">P1010</t>
  </si>
  <si>
    <t xml:space="preserve">TCHW0B2D1200</t>
  </si>
  <si>
    <t xml:space="preserve">P1008</t>
  </si>
  <si>
    <t xml:space="preserve"> 1522.5</t>
  </si>
  <si>
    <t xml:space="preserve">P1000</t>
  </si>
  <si>
    <t xml:space="preserve">P1017</t>
  </si>
  <si>
    <t xml:space="preserve">P1019</t>
  </si>
  <si>
    <t xml:space="preserve">P1011</t>
  </si>
  <si>
    <t xml:space="preserve">P1009</t>
  </si>
  <si>
    <t xml:space="preserve"> 0 : 3</t>
  </si>
  <si>
    <t xml:space="preserve">P1005</t>
  </si>
  <si>
    <t xml:space="preserve">TCHW3B2D750</t>
  </si>
  <si>
    <t xml:space="preserve">P1007</t>
  </si>
  <si>
    <t xml:space="preserve">P1006</t>
  </si>
  <si>
    <t xml:space="preserve">P1004</t>
  </si>
  <si>
    <t xml:space="preserve">[VBSCRIPT]</t>
  </si>
  <si>
    <t xml:space="preserve">[MACRODATA]</t>
  </si>
  <si>
    <t xml:space="preserve">[TDCODES]</t>
  </si>
  <si>
    <t xml:space="preserve">[PCF]</t>
  </si>
  <si>
    <t xml:space="preserve">[TOOLING]</t>
  </si>
  <si>
    <t xml:space="preserve">[SUBPROGS]</t>
  </si>
  <si>
    <t xml:space="preserve">Dimensões da peça:</t>
  </si>
  <si>
    <t xml:space="preserve">Pega</t>
  </si>
  <si>
    <t xml:space="preserve">lado da borda</t>
  </si>
  <si>
    <t xml:space="preserve">Comp.</t>
  </si>
  <si>
    <t xml:space="preserve">Largura</t>
  </si>
  <si>
    <t xml:space="preserve">Espes.</t>
  </si>
  <si>
    <t xml:space="preserve">Batente</t>
  </si>
  <si>
    <t xml:space="preserve">Eixo X</t>
  </si>
  <si>
    <t xml:space="preserve">Eixo Y1</t>
  </si>
  <si>
    <t xml:space="preserve">Eixo Y2</t>
  </si>
  <si>
    <t xml:space="preserve">-</t>
  </si>
  <si>
    <t xml:space="preserve">Eixo Z</t>
  </si>
  <si>
    <t xml:space="preserve">Cabeçote</t>
  </si>
  <si>
    <t xml:space="preserve">C/M</t>
  </si>
  <si>
    <t xml:space="preserve">Broca</t>
  </si>
  <si>
    <t xml:space="preserve">CABEÇOTES</t>
  </si>
  <si>
    <t xml:space="preserve">Cabeçote/multiplo</t>
  </si>
  <si>
    <t xml:space="preserve">medida</t>
  </si>
  <si>
    <t xml:space="preserve">TOP_1</t>
  </si>
  <si>
    <t xml:space="preserve">TOP_15</t>
  </si>
  <si>
    <t xml:space="preserve">TRA1</t>
  </si>
  <si>
    <t xml:space="preserve">TRA2</t>
  </si>
  <si>
    <t xml:space="preserve">TRA3</t>
  </si>
  <si>
    <t xml:space="preserve">TRA4</t>
  </si>
  <si>
    <t xml:space="preserve">Z</t>
  </si>
  <si>
    <t xml:space="preserve">Comprimento</t>
  </si>
  <si>
    <t xml:space="preserve">Espessura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</si>
</sst>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@"/>
    <numFmt numFmtId="166" formatCode="0.00"/>
  </numFmts>
  <fonts count="9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  <charset val="134"/>
    </font>
    <font>
      <sz val="10"/>
      <color rgb="FFFF0000"/>
      <name val="Arial"/>
      <family val="2"/>
      <charset val="1"/>
    </font>
    <font>
      <b val="true"/>
      <sz val="10"/>
      <name val="Arial"/>
      <family val="2"/>
      <charset val="1"/>
    </font>
    <font>
      <b val="true"/>
      <sz val="9"/>
      <name val="Arial"/>
      <family val="2"/>
      <charset val="1"/>
    </font>
    <font>
      <b val="true"/>
      <sz val="10"/>
      <color rgb="FFFF0000"/>
      <name val="Arial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D7E4BD"/>
        <bgColor rgb="FFC5E0B4"/>
      </patternFill>
    </fill>
    <fill>
      <patternFill patternType="solid">
        <fgColor rgb="FFED7D31"/>
        <bgColor rgb="FFFF8080"/>
      </patternFill>
    </fill>
    <fill>
      <patternFill patternType="solid">
        <fgColor rgb="FFC5E0B4"/>
        <bgColor rgb="FFD7E4BD"/>
      </patternFill>
    </fill>
    <fill>
      <patternFill patternType="solid">
        <fgColor rgb="FFBDD7EE"/>
        <bgColor rgb="FFC5E0B4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3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4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6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5E0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7E4B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ED7D31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2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0</xdr:colOff>
      <xdr:row>0</xdr:row>
      <xdr:rowOff>0</xdr:rowOff>
    </xdr:from>
    <xdr:to>
      <xdr:col>12</xdr:col>
      <xdr:colOff>445320</xdr:colOff>
      <xdr:row>24</xdr:row>
      <xdr:rowOff>104760</xdr:rowOff>
    </xdr:to>
    <xdr:pic>
      <xdr:nvPicPr>
        <xdr:cNvPr id="0" name="Figura 1" descr=""/>
        <xdr:cNvPicPr/>
      </xdr:nvPicPr>
      <xdr:blipFill>
        <a:blip r:embed="rId1"/>
        <a:stretch/>
      </xdr:blipFill>
      <xdr:spPr>
        <a:xfrm>
          <a:off x="0" y="0"/>
          <a:ext cx="10244520" cy="399096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0</xdr:colOff>
      <xdr:row>0</xdr:row>
      <xdr:rowOff>0</xdr:rowOff>
    </xdr:from>
    <xdr:to>
      <xdr:col>9</xdr:col>
      <xdr:colOff>73080</xdr:colOff>
      <xdr:row>25</xdr:row>
      <xdr:rowOff>162360</xdr:rowOff>
    </xdr:to>
    <xdr:pic>
      <xdr:nvPicPr>
        <xdr:cNvPr id="1" name="Figura 2" descr=""/>
        <xdr:cNvPicPr/>
      </xdr:nvPicPr>
      <xdr:blipFill>
        <a:blip r:embed="rId1"/>
        <a:stretch/>
      </xdr:blipFill>
      <xdr:spPr>
        <a:xfrm>
          <a:off x="0" y="0"/>
          <a:ext cx="7422480" cy="4210200"/>
        </a:xfrm>
        <a:prstGeom prst="rect">
          <a:avLst/>
        </a:prstGeom>
        <a:ln>
          <a:noFill/>
        </a:ln>
      </xdr:spPr>
    </xdr:pic>
    <xdr:clientData/>
  </xdr:twoCellAnchor>
</xdr:wsDr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L8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0" activeCellId="0" sqref="A10"/>
    </sheetView>
  </sheetViews>
  <sheetFormatPr defaultRowHeight="12.75" zeroHeight="false" outlineLevelRow="0" outlineLevelCol="0"/>
  <cols>
    <col collapsed="false" customWidth="true" hidden="false" outlineLevel="0" max="1" min="1" style="0" width="50"/>
    <col collapsed="false" customWidth="true" hidden="false" outlineLevel="0" max="4" min="4" style="0" width="9.29"/>
    <col collapsed="false" customWidth="true" hidden="false" outlineLevel="0" max="6" min="6" style="0" width="5.7"/>
    <col collapsed="false" customWidth="true" hidden="false" outlineLevel="0" max="7" min="7" style="0" width="15.57"/>
    <col collapsed="false" customWidth="true" hidden="false" outlineLevel="0" max="8" min="8" style="0" width="7.15"/>
    <col collapsed="false" customWidth="true" hidden="false" outlineLevel="0" max="9" min="9" style="0" width="4.43"/>
    <col collapsed="false" customWidth="true" hidden="false" outlineLevel="0" max="10" min="10" style="0" width="2.57"/>
    <col collapsed="false" customWidth="true" hidden="false" outlineLevel="0" max="11" min="11" style="0" width="3.57"/>
    <col collapsed="false" customWidth="true" hidden="false" outlineLevel="0" max="12" min="12" style="0" width="4.57"/>
    <col collapsed="false" customWidth="true" hidden="false" outlineLevel="0" max="13" min="13" style="0" width="2.57"/>
    <col collapsed="false" customWidth="true" hidden="false" outlineLevel="0" max="14" min="14" style="0" width="3.14"/>
    <col collapsed="false" customWidth="true" hidden="false" outlineLevel="0" max="17" min="15" style="0" width="3.57"/>
    <col collapsed="false" customWidth="true" hidden="false" outlineLevel="0" max="18" min="18" style="0" width="2.57"/>
    <col collapsed="false" customWidth="true" hidden="false" outlineLevel="0" max="19" min="19" style="0" width="3.57"/>
    <col collapsed="false" customWidth="true" hidden="false" outlineLevel="0" max="20" min="20" style="0" width="2.57"/>
    <col collapsed="false" customWidth="true" hidden="false" outlineLevel="0" max="36" min="22" style="0" width="2.57"/>
    <col collapsed="false" customWidth="true" hidden="false" outlineLevel="0" max="37" min="37" style="0" width="3.14"/>
    <col collapsed="false" customWidth="true" hidden="false" outlineLevel="0" max="38" min="38" style="0" width="6.71"/>
    <col collapsed="false" customWidth="true" hidden="false" outlineLevel="0" max="39" min="39" style="0" width="2.57"/>
    <col collapsed="false" customWidth="true" hidden="false" outlineLevel="0" max="46" min="42" style="0" width="2.57"/>
    <col collapsed="false" customWidth="true" hidden="false" outlineLevel="0" max="52" min="48" style="0" width="2.57"/>
    <col collapsed="false" customWidth="true" hidden="false" outlineLevel="0" max="55" min="55" style="0" width="15.15"/>
    <col collapsed="false" customWidth="true" hidden="false" outlineLevel="0" max="58" min="56" style="0" width="2.57"/>
  </cols>
  <sheetData>
    <row r="1" customFormat="false" ht="12.75" hidden="false" customHeight="false" outlineLevel="0" collapsed="false">
      <c r="A1" s="0" t="n">
        <v>1</v>
      </c>
      <c r="B1" s="0" t="n">
        <v>2</v>
      </c>
      <c r="C1" s="0" t="n">
        <v>3</v>
      </c>
      <c r="D1" s="0" t="n">
        <v>4</v>
      </c>
      <c r="E1" s="0" t="n">
        <v>5</v>
      </c>
      <c r="F1" s="0" t="n">
        <v>6</v>
      </c>
      <c r="G1" s="0" t="n">
        <v>7</v>
      </c>
      <c r="H1" s="0" t="n">
        <v>8</v>
      </c>
      <c r="I1" s="0" t="n">
        <v>9</v>
      </c>
      <c r="J1" s="0" t="n">
        <v>10</v>
      </c>
      <c r="K1" s="0" t="n">
        <v>11</v>
      </c>
      <c r="L1" s="0" t="n">
        <v>12</v>
      </c>
      <c r="M1" s="0" t="n">
        <v>13</v>
      </c>
      <c r="N1" s="0" t="n">
        <v>14</v>
      </c>
      <c r="O1" s="0" t="n">
        <v>15</v>
      </c>
      <c r="P1" s="0" t="n">
        <v>16</v>
      </c>
      <c r="Q1" s="0" t="n">
        <v>17</v>
      </c>
      <c r="R1" s="0" t="n">
        <v>18</v>
      </c>
      <c r="S1" s="0" t="n">
        <v>19</v>
      </c>
      <c r="T1" s="0" t="n">
        <v>20</v>
      </c>
      <c r="U1" s="0" t="n">
        <v>21</v>
      </c>
      <c r="V1" s="0" t="n">
        <v>22</v>
      </c>
      <c r="W1" s="0" t="n">
        <v>23</v>
      </c>
      <c r="X1" s="0" t="n">
        <v>24</v>
      </c>
      <c r="Y1" s="0" t="n">
        <v>25</v>
      </c>
      <c r="Z1" s="0" t="n">
        <v>26</v>
      </c>
      <c r="AA1" s="0" t="n">
        <v>27</v>
      </c>
      <c r="AB1" s="0" t="n">
        <v>28</v>
      </c>
      <c r="AC1" s="0" t="n">
        <v>29</v>
      </c>
      <c r="AD1" s="0" t="n">
        <v>30</v>
      </c>
      <c r="AE1" s="0" t="n">
        <v>31</v>
      </c>
      <c r="AF1" s="0" t="n">
        <v>32</v>
      </c>
      <c r="AG1" s="0" t="n">
        <v>33</v>
      </c>
      <c r="AH1" s="0" t="n">
        <v>34</v>
      </c>
      <c r="AI1" s="0" t="n">
        <v>35</v>
      </c>
      <c r="AJ1" s="0" t="n">
        <v>36</v>
      </c>
      <c r="AK1" s="0" t="n">
        <v>37</v>
      </c>
      <c r="AL1" s="0" t="n">
        <v>38</v>
      </c>
      <c r="AM1" s="0" t="n">
        <v>39</v>
      </c>
      <c r="AN1" s="0" t="n">
        <v>40</v>
      </c>
      <c r="AO1" s="0" t="n">
        <v>41</v>
      </c>
      <c r="AP1" s="0" t="n">
        <v>42</v>
      </c>
      <c r="AQ1" s="0" t="n">
        <v>43</v>
      </c>
      <c r="AR1" s="0" t="n">
        <v>44</v>
      </c>
      <c r="AS1" s="0" t="n">
        <v>45</v>
      </c>
      <c r="AT1" s="0" t="n">
        <v>46</v>
      </c>
      <c r="AU1" s="0" t="n">
        <v>47</v>
      </c>
      <c r="AV1" s="0" t="n">
        <v>48</v>
      </c>
      <c r="AW1" s="0" t="n">
        <v>49</v>
      </c>
      <c r="AX1" s="0" t="n">
        <v>50</v>
      </c>
      <c r="AY1" s="0" t="n">
        <v>51</v>
      </c>
      <c r="AZ1" s="0" t="n">
        <v>52</v>
      </c>
      <c r="BA1" s="0" t="n">
        <v>53</v>
      </c>
      <c r="BB1" s="0" t="n">
        <v>54</v>
      </c>
      <c r="BC1" s="0" t="n">
        <v>55</v>
      </c>
      <c r="BD1" s="0" t="n">
        <v>56</v>
      </c>
      <c r="BE1" s="0" t="n">
        <v>57</v>
      </c>
      <c r="BF1" s="0" t="n">
        <v>58</v>
      </c>
      <c r="BG1" s="0" t="n">
        <v>59</v>
      </c>
      <c r="BH1" s="0" t="n">
        <v>60</v>
      </c>
      <c r="BI1" s="0" t="n">
        <v>61</v>
      </c>
      <c r="BJ1" s="0" t="n">
        <v>62</v>
      </c>
      <c r="BK1" s="0" t="n">
        <v>63</v>
      </c>
      <c r="BL1" s="0" t="n">
        <v>64</v>
      </c>
    </row>
    <row r="2" customFormat="false" ht="12.8" hidden="false" customHeight="false" outlineLevel="0" collapsed="false">
      <c r="A2" s="0" t="s">
        <v>0</v>
      </c>
      <c r="F2" s="1" t="s">
        <v>1</v>
      </c>
      <c r="G2" s="1" t="s">
        <v>2</v>
      </c>
      <c r="H2" s="1" t="s">
        <v>3</v>
      </c>
      <c r="I2" s="1" t="s">
        <v>4</v>
      </c>
      <c r="K2" s="1" t="s">
        <v>5</v>
      </c>
      <c r="L2" s="1" t="s">
        <v>6</v>
      </c>
      <c r="M2" s="1" t="s">
        <v>7</v>
      </c>
    </row>
    <row r="3" customFormat="false" ht="12.75" hidden="true" customHeight="false" outlineLevel="0" collapsed="false">
      <c r="A3" s="0" t="s">
        <v>8</v>
      </c>
    </row>
    <row r="4" customFormat="false" ht="12.75" hidden="true" customHeight="false" outlineLevel="0" collapsed="false">
      <c r="A4" s="0" t="s">
        <v>9</v>
      </c>
    </row>
    <row r="5" customFormat="false" ht="12.75" hidden="true" customHeight="false" outlineLevel="0" collapsed="false">
      <c r="A5" s="0" t="s">
        <v>10</v>
      </c>
    </row>
    <row r="7" customFormat="false" ht="12.75" hidden="true" customHeight="false" outlineLevel="0" collapsed="false">
      <c r="A7" s="0" t="s">
        <v>11</v>
      </c>
    </row>
    <row r="8" customFormat="false" ht="12.75" hidden="true" customHeight="false" outlineLevel="0" collapsed="false">
      <c r="A8" s="0" t="s">
        <v>12</v>
      </c>
    </row>
    <row r="10" customFormat="false" ht="12.8" hidden="false" customHeight="false" outlineLevel="0" collapsed="false">
      <c r="A10" s="0" t="s">
        <v>13</v>
      </c>
    </row>
    <row r="11" customFormat="false" ht="12.8" hidden="false" customHeight="false" outlineLevel="0" collapsed="false">
      <c r="A11" s="0" t="s">
        <v>14</v>
      </c>
    </row>
    <row r="12" customFormat="false" ht="12.8" hidden="false" customHeight="false" outlineLevel="0" collapsed="false">
      <c r="A12" s="0" t="s">
        <v>15</v>
      </c>
    </row>
    <row r="13" customFormat="false" ht="12.8" hidden="false" customHeight="false" outlineLevel="0" collapsed="false">
      <c r="A13" s="0" t="s">
        <v>16</v>
      </c>
    </row>
    <row r="14" customFormat="false" ht="12.8" hidden="false" customHeight="false" outlineLevel="0" collapsed="false">
      <c r="A14" s="0" t="s">
        <v>17</v>
      </c>
    </row>
    <row r="15" customFormat="false" ht="12.8" hidden="false" customHeight="false" outlineLevel="0" collapsed="false">
      <c r="A15" s="0" t="s">
        <v>18</v>
      </c>
    </row>
    <row r="16" customFormat="false" ht="12.8" hidden="false" customHeight="false" outlineLevel="0" collapsed="false">
      <c r="A16" s="0" t="s">
        <v>19</v>
      </c>
    </row>
    <row r="17" customFormat="false" ht="12.8" hidden="false" customHeight="false" outlineLevel="0" collapsed="false">
      <c r="A17" s="0" t="s">
        <v>20</v>
      </c>
    </row>
    <row r="18" customFormat="false" ht="12.8" hidden="false" customHeight="false" outlineLevel="0" collapsed="false">
      <c r="A18" s="0" t="s">
        <v>21</v>
      </c>
    </row>
    <row r="19" customFormat="false" ht="12.8" hidden="false" customHeight="false" outlineLevel="0" collapsed="false">
      <c r="A19" s="0" t="s">
        <v>22</v>
      </c>
    </row>
    <row r="20" customFormat="false" ht="12.8" hidden="false" customHeight="false" outlineLevel="0" collapsed="false">
      <c r="A20" s="0" t="s">
        <v>23</v>
      </c>
    </row>
    <row r="21" customFormat="false" ht="12.8" hidden="false" customHeight="false" outlineLevel="0" collapsed="false">
      <c r="A21" s="0" t="s">
        <v>24</v>
      </c>
    </row>
    <row r="22" customFormat="false" ht="12.8" hidden="false" customHeight="false" outlineLevel="0" collapsed="false">
      <c r="A22" s="0" t="s">
        <v>25</v>
      </c>
    </row>
    <row r="23" customFormat="false" ht="12.8" hidden="false" customHeight="false" outlineLevel="0" collapsed="false">
      <c r="A23" s="0" t="s">
        <v>26</v>
      </c>
    </row>
    <row r="24" customFormat="false" ht="12.8" hidden="false" customHeight="false" outlineLevel="0" collapsed="false">
      <c r="A24" s="0" t="s">
        <v>27</v>
      </c>
    </row>
    <row r="25" customFormat="false" ht="12.8" hidden="false" customHeight="false" outlineLevel="0" collapsed="false">
      <c r="A25" s="0" t="s">
        <v>28</v>
      </c>
    </row>
    <row r="26" customFormat="false" ht="12.8" hidden="false" customHeight="false" outlineLevel="0" collapsed="false">
      <c r="A26" s="0" t="s">
        <v>29</v>
      </c>
    </row>
    <row r="27" customFormat="false" ht="12.8" hidden="false" customHeight="false" outlineLevel="0" collapsed="false">
      <c r="A27" s="0" t="s">
        <v>30</v>
      </c>
    </row>
    <row r="28" customFormat="false" ht="12.8" hidden="false" customHeight="false" outlineLevel="0" collapsed="false">
      <c r="A28" s="0" t="s">
        <v>31</v>
      </c>
    </row>
    <row r="29" customFormat="false" ht="12.8" hidden="false" customHeight="false" outlineLevel="0" collapsed="false">
      <c r="A29" s="0" t="s">
        <v>32</v>
      </c>
    </row>
    <row r="30" customFormat="false" ht="12.8" hidden="false" customHeight="false" outlineLevel="0" collapsed="false">
      <c r="A30" s="0" t="s">
        <v>33</v>
      </c>
    </row>
    <row r="31" customFormat="false" ht="12.8" hidden="false" customHeight="false" outlineLevel="0" collapsed="false">
      <c r="A31" s="0" t="s">
        <v>34</v>
      </c>
    </row>
    <row r="32" customFormat="false" ht="12.8" hidden="false" customHeight="false" outlineLevel="0" collapsed="false">
      <c r="A32" s="0" t="s">
        <v>35</v>
      </c>
    </row>
    <row r="33" customFormat="false" ht="12.8" hidden="false" customHeight="false" outlineLevel="0" collapsed="false">
      <c r="A33" s="0" t="s">
        <v>36</v>
      </c>
    </row>
    <row r="34" customFormat="false" ht="12.8" hidden="false" customHeight="false" outlineLevel="0" collapsed="false">
      <c r="A34" s="0" t="s">
        <v>37</v>
      </c>
    </row>
    <row r="35" customFormat="false" ht="12.8" hidden="false" customHeight="false" outlineLevel="0" collapsed="false">
      <c r="A35" s="0" t="s">
        <v>38</v>
      </c>
    </row>
    <row r="36" customFormat="false" ht="12.8" hidden="false" customHeight="false" outlineLevel="0" collapsed="false">
      <c r="A36" s="0" t="s">
        <v>39</v>
      </c>
    </row>
    <row r="37" customFormat="false" ht="12.8" hidden="false" customHeight="false" outlineLevel="0" collapsed="false">
      <c r="A37" s="0" t="s">
        <v>40</v>
      </c>
    </row>
    <row r="38" customFormat="false" ht="12.8" hidden="false" customHeight="false" outlineLevel="0" collapsed="false">
      <c r="A38" s="0" t="s">
        <v>41</v>
      </c>
    </row>
    <row r="39" customFormat="false" ht="12.8" hidden="false" customHeight="false" outlineLevel="0" collapsed="false">
      <c r="A39" s="0" t="s">
        <v>42</v>
      </c>
    </row>
    <row r="40" customFormat="false" ht="12.8" hidden="false" customHeight="false" outlineLevel="0" collapsed="false">
      <c r="A40" s="0" t="s">
        <v>43</v>
      </c>
    </row>
    <row r="41" customFormat="false" ht="12.8" hidden="false" customHeight="false" outlineLevel="0" collapsed="false">
      <c r="A41" s="0" t="s">
        <v>44</v>
      </c>
    </row>
    <row r="42" customFormat="false" ht="12.8" hidden="false" customHeight="false" outlineLevel="0" collapsed="false">
      <c r="A42" s="0" t="s">
        <v>45</v>
      </c>
    </row>
    <row r="44" customFormat="false" ht="12.8" hidden="false" customHeight="false" outlineLevel="0" collapsed="false">
      <c r="A44" s="0" t="s">
        <v>46</v>
      </c>
    </row>
    <row r="45" customFormat="false" ht="12.8" hidden="false" customHeight="false" outlineLevel="0" collapsed="false">
      <c r="A45" s="0" t="s">
        <v>47</v>
      </c>
    </row>
    <row r="47" customFormat="false" ht="12.8" hidden="false" customHeight="false" outlineLevel="0" collapsed="false">
      <c r="A47" s="0" t="s">
        <v>48</v>
      </c>
      <c r="D47" s="0" t="n">
        <v>96272276</v>
      </c>
      <c r="F47" s="2" t="s">
        <v>49</v>
      </c>
      <c r="G47" s="0" t="n">
        <v>1</v>
      </c>
      <c r="H47" s="0" t="n">
        <v>32</v>
      </c>
      <c r="I47" s="0" t="s">
        <v>50</v>
      </c>
      <c r="J47" s="0" t="n">
        <v>0</v>
      </c>
      <c r="K47" s="0" t="n">
        <v>22</v>
      </c>
      <c r="L47" s="0" t="n">
        <v>6</v>
      </c>
      <c r="M47" s="0" t="n">
        <v>0</v>
      </c>
      <c r="N47" s="0" t="n">
        <v>-1</v>
      </c>
      <c r="O47" s="0" t="n">
        <v>32</v>
      </c>
      <c r="P47" s="0" t="n">
        <v>32</v>
      </c>
      <c r="Q47" s="0" t="n">
        <v>50</v>
      </c>
      <c r="R47" s="0" t="n">
        <v>0</v>
      </c>
      <c r="S47" s="0" t="n">
        <v>45</v>
      </c>
      <c r="T47" s="0" t="n">
        <v>0</v>
      </c>
      <c r="V47" s="0" t="n">
        <v>1</v>
      </c>
      <c r="W47" s="0" t="n">
        <v>0</v>
      </c>
      <c r="X47" s="0" t="n">
        <v>0</v>
      </c>
      <c r="Y47" s="0" t="n">
        <v>0</v>
      </c>
      <c r="Z47" s="0" t="n">
        <v>0</v>
      </c>
      <c r="AA47" s="0" t="n">
        <v>0</v>
      </c>
      <c r="AB47" s="0" t="n">
        <v>0</v>
      </c>
      <c r="AC47" s="0" t="n">
        <v>0</v>
      </c>
      <c r="AD47" s="0" t="n">
        <v>0</v>
      </c>
      <c r="AE47" s="0" t="n">
        <v>1</v>
      </c>
      <c r="AF47" s="0" t="n">
        <v>0</v>
      </c>
      <c r="AG47" s="0" t="n">
        <v>0</v>
      </c>
      <c r="AH47" s="0" t="n">
        <v>0</v>
      </c>
      <c r="AI47" s="0" t="n">
        <v>0</v>
      </c>
      <c r="AJ47" s="0" t="n">
        <v>0</v>
      </c>
      <c r="AK47" s="0" t="n">
        <v>-1</v>
      </c>
      <c r="AL47" s="0" t="s">
        <v>51</v>
      </c>
      <c r="AM47" s="0" t="n">
        <v>0</v>
      </c>
      <c r="AP47" s="0" t="n">
        <v>0</v>
      </c>
      <c r="AQ47" s="0" t="n">
        <v>0</v>
      </c>
      <c r="AR47" s="0" t="n">
        <v>0</v>
      </c>
      <c r="AS47" s="0" t="n">
        <v>0</v>
      </c>
      <c r="AT47" s="0" t="n">
        <v>0</v>
      </c>
      <c r="AV47" s="0" t="n">
        <v>0</v>
      </c>
      <c r="AW47" s="0" t="n">
        <v>0</v>
      </c>
      <c r="AX47" s="0" t="n">
        <v>0</v>
      </c>
      <c r="AY47" s="0" t="n">
        <v>0</v>
      </c>
      <c r="AZ47" s="0" t="n">
        <v>0</v>
      </c>
      <c r="BC47" s="0" t="s">
        <v>52</v>
      </c>
      <c r="BD47" s="0" t="n">
        <v>0</v>
      </c>
      <c r="BE47" s="0" t="n">
        <v>0</v>
      </c>
      <c r="BF47" s="0" t="n">
        <v>0</v>
      </c>
    </row>
    <row r="48" customFormat="false" ht="12.8" hidden="false" customHeight="false" outlineLevel="0" collapsed="false">
      <c r="A48" s="0" t="s">
        <v>48</v>
      </c>
      <c r="D48" s="0" t="n">
        <v>96272404</v>
      </c>
      <c r="F48" s="2" t="s">
        <v>49</v>
      </c>
      <c r="G48" s="0" t="n">
        <v>1</v>
      </c>
      <c r="H48" s="0" t="n">
        <v>64</v>
      </c>
      <c r="I48" s="0" t="s">
        <v>50</v>
      </c>
      <c r="J48" s="0" t="n">
        <v>0</v>
      </c>
      <c r="K48" s="0" t="n">
        <v>30</v>
      </c>
      <c r="L48" s="0" t="s">
        <v>53</v>
      </c>
      <c r="M48" s="0" t="n">
        <v>0</v>
      </c>
      <c r="N48" s="0" t="n">
        <v>-1</v>
      </c>
      <c r="O48" s="0" t="n">
        <v>32</v>
      </c>
      <c r="P48" s="0" t="n">
        <v>32</v>
      </c>
      <c r="Q48" s="0" t="n">
        <v>50</v>
      </c>
      <c r="R48" s="0" t="n">
        <v>0</v>
      </c>
      <c r="S48" s="0" t="n">
        <v>45</v>
      </c>
      <c r="T48" s="0" t="n">
        <v>0</v>
      </c>
      <c r="V48" s="0" t="n">
        <v>1</v>
      </c>
      <c r="W48" s="0" t="n">
        <v>0</v>
      </c>
      <c r="X48" s="0" t="n">
        <v>0</v>
      </c>
      <c r="Y48" s="0" t="n">
        <v>0</v>
      </c>
      <c r="Z48" s="0" t="n">
        <v>0</v>
      </c>
      <c r="AA48" s="0" t="n">
        <v>0</v>
      </c>
      <c r="AB48" s="0" t="n">
        <v>0</v>
      </c>
      <c r="AC48" s="0" t="n">
        <v>0</v>
      </c>
      <c r="AD48" s="0" t="n">
        <v>0</v>
      </c>
      <c r="AE48" s="0" t="n">
        <v>1</v>
      </c>
      <c r="AF48" s="0" t="n">
        <v>0</v>
      </c>
      <c r="AG48" s="0" t="n">
        <v>0</v>
      </c>
      <c r="AH48" s="0" t="n">
        <v>0</v>
      </c>
      <c r="AI48" s="0" t="n">
        <v>0</v>
      </c>
      <c r="AJ48" s="0" t="n">
        <v>0</v>
      </c>
      <c r="AK48" s="0" t="n">
        <v>-1</v>
      </c>
      <c r="AL48" s="0" t="s">
        <v>54</v>
      </c>
      <c r="AM48" s="0" t="n">
        <v>0</v>
      </c>
      <c r="AP48" s="0" t="n">
        <v>0</v>
      </c>
      <c r="AQ48" s="0" t="n">
        <v>0</v>
      </c>
      <c r="AR48" s="0" t="n">
        <v>0</v>
      </c>
      <c r="AS48" s="0" t="n">
        <v>0</v>
      </c>
      <c r="AT48" s="0" t="n">
        <v>0</v>
      </c>
      <c r="AV48" s="0" t="n">
        <v>0</v>
      </c>
      <c r="AW48" s="0" t="n">
        <v>0</v>
      </c>
      <c r="AX48" s="0" t="n">
        <v>0</v>
      </c>
      <c r="AY48" s="0" t="n">
        <v>0</v>
      </c>
      <c r="AZ48" s="0" t="n">
        <v>0</v>
      </c>
      <c r="BC48" s="0" t="s">
        <v>52</v>
      </c>
      <c r="BD48" s="0" t="n">
        <v>0</v>
      </c>
      <c r="BE48" s="0" t="n">
        <v>0</v>
      </c>
      <c r="BF48" s="0" t="n">
        <v>0</v>
      </c>
    </row>
    <row r="49" customFormat="false" ht="12.8" hidden="false" customHeight="false" outlineLevel="0" collapsed="false">
      <c r="A49" s="0" t="s">
        <v>48</v>
      </c>
      <c r="D49" s="0" t="n">
        <v>96272340</v>
      </c>
      <c r="F49" s="2" t="s">
        <v>49</v>
      </c>
      <c r="G49" s="0" t="n">
        <v>1</v>
      </c>
      <c r="H49" s="0" t="n">
        <v>384</v>
      </c>
      <c r="I49" s="0" t="s">
        <v>50</v>
      </c>
      <c r="J49" s="0" t="n">
        <v>0</v>
      </c>
      <c r="K49" s="0" t="n">
        <v>30</v>
      </c>
      <c r="L49" s="0" t="s">
        <v>53</v>
      </c>
      <c r="M49" s="0" t="n">
        <v>0</v>
      </c>
      <c r="N49" s="0" t="n">
        <v>-1</v>
      </c>
      <c r="O49" s="0" t="n">
        <v>32</v>
      </c>
      <c r="P49" s="0" t="n">
        <v>32</v>
      </c>
      <c r="Q49" s="0" t="n">
        <v>50</v>
      </c>
      <c r="R49" s="0" t="n">
        <v>0</v>
      </c>
      <c r="S49" s="0" t="n">
        <v>45</v>
      </c>
      <c r="T49" s="0" t="n">
        <v>0</v>
      </c>
      <c r="V49" s="0" t="n">
        <v>1</v>
      </c>
      <c r="W49" s="0" t="n">
        <v>0</v>
      </c>
      <c r="X49" s="0" t="n">
        <v>0</v>
      </c>
      <c r="Y49" s="0" t="n">
        <v>0</v>
      </c>
      <c r="Z49" s="0" t="n">
        <v>0</v>
      </c>
      <c r="AA49" s="0" t="n">
        <v>0</v>
      </c>
      <c r="AB49" s="0" t="n">
        <v>0</v>
      </c>
      <c r="AC49" s="0" t="n">
        <v>0</v>
      </c>
      <c r="AD49" s="0" t="n">
        <v>0</v>
      </c>
      <c r="AE49" s="0" t="n">
        <v>1</v>
      </c>
      <c r="AF49" s="0" t="n">
        <v>0</v>
      </c>
      <c r="AG49" s="0" t="n">
        <v>0</v>
      </c>
      <c r="AH49" s="0" t="n">
        <v>0</v>
      </c>
      <c r="AI49" s="0" t="n">
        <v>0</v>
      </c>
      <c r="AJ49" s="0" t="n">
        <v>0</v>
      </c>
      <c r="AK49" s="0" t="n">
        <v>-1</v>
      </c>
      <c r="AL49" s="0" t="s">
        <v>55</v>
      </c>
      <c r="AM49" s="0" t="n">
        <v>0</v>
      </c>
      <c r="AP49" s="0" t="n">
        <v>0</v>
      </c>
      <c r="AQ49" s="0" t="n">
        <v>0</v>
      </c>
      <c r="AR49" s="0" t="n">
        <v>0</v>
      </c>
      <c r="AS49" s="0" t="n">
        <v>0</v>
      </c>
      <c r="AT49" s="0" t="n">
        <v>0</v>
      </c>
      <c r="AV49" s="0" t="n">
        <v>0</v>
      </c>
      <c r="AW49" s="0" t="n">
        <v>0</v>
      </c>
      <c r="AX49" s="0" t="n">
        <v>0</v>
      </c>
      <c r="AY49" s="0" t="n">
        <v>0</v>
      </c>
      <c r="AZ49" s="0" t="n">
        <v>0</v>
      </c>
      <c r="BC49" s="0" t="s">
        <v>52</v>
      </c>
      <c r="BD49" s="0" t="n">
        <v>0</v>
      </c>
      <c r="BE49" s="0" t="n">
        <v>0</v>
      </c>
      <c r="BF49" s="0" t="n">
        <v>0</v>
      </c>
    </row>
    <row r="50" customFormat="false" ht="12.8" hidden="false" customHeight="false" outlineLevel="0" collapsed="false">
      <c r="A50" s="0" t="s">
        <v>48</v>
      </c>
      <c r="D50" s="0" t="n">
        <v>96272212</v>
      </c>
      <c r="F50" s="2" t="s">
        <v>49</v>
      </c>
      <c r="G50" s="0" t="n">
        <v>1</v>
      </c>
      <c r="H50" s="0" t="n">
        <v>416</v>
      </c>
      <c r="I50" s="0" t="s">
        <v>50</v>
      </c>
      <c r="J50" s="0" t="n">
        <v>0</v>
      </c>
      <c r="K50" s="0" t="n">
        <v>22</v>
      </c>
      <c r="L50" s="0" t="n">
        <v>6</v>
      </c>
      <c r="M50" s="0" t="n">
        <v>0</v>
      </c>
      <c r="N50" s="0" t="n">
        <v>-1</v>
      </c>
      <c r="O50" s="0" t="n">
        <v>32</v>
      </c>
      <c r="P50" s="0" t="n">
        <v>32</v>
      </c>
      <c r="Q50" s="0" t="n">
        <v>50</v>
      </c>
      <c r="R50" s="0" t="n">
        <v>0</v>
      </c>
      <c r="S50" s="0" t="n">
        <v>45</v>
      </c>
      <c r="T50" s="0" t="n">
        <v>0</v>
      </c>
      <c r="V50" s="0" t="n">
        <v>1</v>
      </c>
      <c r="W50" s="0" t="n">
        <v>0</v>
      </c>
      <c r="X50" s="0" t="n">
        <v>0</v>
      </c>
      <c r="Y50" s="0" t="n">
        <v>0</v>
      </c>
      <c r="Z50" s="0" t="n">
        <v>0</v>
      </c>
      <c r="AA50" s="0" t="n">
        <v>0</v>
      </c>
      <c r="AB50" s="0" t="n">
        <v>0</v>
      </c>
      <c r="AC50" s="0" t="n">
        <v>0</v>
      </c>
      <c r="AD50" s="0" t="n">
        <v>0</v>
      </c>
      <c r="AE50" s="0" t="n">
        <v>1</v>
      </c>
      <c r="AF50" s="0" t="n">
        <v>0</v>
      </c>
      <c r="AG50" s="0" t="n">
        <v>0</v>
      </c>
      <c r="AH50" s="0" t="n">
        <v>0</v>
      </c>
      <c r="AI50" s="0" t="n">
        <v>0</v>
      </c>
      <c r="AJ50" s="0" t="n">
        <v>0</v>
      </c>
      <c r="AK50" s="0" t="n">
        <v>-1</v>
      </c>
      <c r="AL50" s="0" t="s">
        <v>56</v>
      </c>
      <c r="AM50" s="0" t="n">
        <v>0</v>
      </c>
      <c r="AP50" s="0" t="n">
        <v>0</v>
      </c>
      <c r="AQ50" s="0" t="n">
        <v>0</v>
      </c>
      <c r="AR50" s="0" t="n">
        <v>0</v>
      </c>
      <c r="AS50" s="0" t="n">
        <v>0</v>
      </c>
      <c r="AT50" s="0" t="n">
        <v>0</v>
      </c>
      <c r="AV50" s="0" t="n">
        <v>0</v>
      </c>
      <c r="AW50" s="0" t="n">
        <v>0</v>
      </c>
      <c r="AX50" s="0" t="n">
        <v>0</v>
      </c>
      <c r="AY50" s="0" t="n">
        <v>0</v>
      </c>
      <c r="AZ50" s="0" t="n">
        <v>0</v>
      </c>
      <c r="BC50" s="0" t="s">
        <v>52</v>
      </c>
      <c r="BD50" s="0" t="n">
        <v>0</v>
      </c>
      <c r="BE50" s="0" t="n">
        <v>0</v>
      </c>
      <c r="BF50" s="0" t="n">
        <v>0</v>
      </c>
    </row>
    <row r="52" customFormat="false" ht="12.8" hidden="false" customHeight="false" outlineLevel="0" collapsed="false">
      <c r="A52" s="0" t="s">
        <v>48</v>
      </c>
      <c r="D52" s="0" t="n">
        <v>94010492</v>
      </c>
      <c r="F52" s="2" t="s">
        <v>57</v>
      </c>
      <c r="G52" s="0" t="n">
        <v>1</v>
      </c>
      <c r="H52" s="0" t="s">
        <v>58</v>
      </c>
      <c r="I52" s="0" t="n">
        <v>32</v>
      </c>
      <c r="J52" s="0" t="n">
        <v>0</v>
      </c>
      <c r="K52" s="0" t="n">
        <v>12</v>
      </c>
      <c r="L52" s="0" t="n">
        <v>6</v>
      </c>
      <c r="M52" s="0" t="n">
        <v>0</v>
      </c>
      <c r="N52" s="0" t="n">
        <v>-1</v>
      </c>
      <c r="O52" s="0" t="n">
        <v>32</v>
      </c>
      <c r="P52" s="0" t="n">
        <v>32</v>
      </c>
      <c r="Q52" s="0" t="n">
        <v>50</v>
      </c>
      <c r="R52" s="0" t="n">
        <v>0</v>
      </c>
      <c r="S52" s="0" t="n">
        <v>45</v>
      </c>
      <c r="T52" s="0" t="n">
        <v>0</v>
      </c>
      <c r="V52" s="0" t="n">
        <v>1</v>
      </c>
      <c r="W52" s="0" t="n">
        <v>0</v>
      </c>
      <c r="X52" s="0" t="n">
        <v>0</v>
      </c>
      <c r="Y52" s="0" t="n">
        <v>0</v>
      </c>
      <c r="Z52" s="0" t="n">
        <v>0</v>
      </c>
      <c r="AA52" s="0" t="n">
        <v>0</v>
      </c>
      <c r="AB52" s="0" t="n">
        <v>0</v>
      </c>
      <c r="AC52" s="0" t="n">
        <v>0</v>
      </c>
      <c r="AD52" s="0" t="n">
        <v>0</v>
      </c>
      <c r="AE52" s="0" t="n">
        <v>1</v>
      </c>
      <c r="AF52" s="0" t="n">
        <v>0</v>
      </c>
      <c r="AG52" s="0" t="n">
        <v>0</v>
      </c>
      <c r="AH52" s="0" t="n">
        <v>0</v>
      </c>
      <c r="AI52" s="0" t="n">
        <v>0</v>
      </c>
      <c r="AJ52" s="0" t="n">
        <v>0</v>
      </c>
      <c r="AK52" s="0" t="n">
        <v>-1</v>
      </c>
      <c r="AL52" s="0" t="s">
        <v>59</v>
      </c>
      <c r="AM52" s="0" t="n">
        <v>0</v>
      </c>
      <c r="AP52" s="0" t="n">
        <v>0</v>
      </c>
      <c r="AQ52" s="0" t="n">
        <v>0</v>
      </c>
      <c r="AR52" s="0" t="n">
        <v>0</v>
      </c>
      <c r="AS52" s="0" t="n">
        <v>0</v>
      </c>
      <c r="AT52" s="0" t="n">
        <v>0</v>
      </c>
      <c r="AV52" s="0" t="n">
        <v>0</v>
      </c>
      <c r="AW52" s="0" t="n">
        <v>0</v>
      </c>
      <c r="AX52" s="0" t="n">
        <v>0</v>
      </c>
      <c r="AY52" s="0" t="n">
        <v>0</v>
      </c>
      <c r="AZ52" s="0" t="n">
        <v>0</v>
      </c>
      <c r="BC52" s="0" t="s">
        <v>60</v>
      </c>
      <c r="BD52" s="0" t="n">
        <v>0</v>
      </c>
      <c r="BE52" s="0" t="n">
        <v>0</v>
      </c>
      <c r="BF52" s="0" t="n">
        <v>0</v>
      </c>
    </row>
    <row r="53" customFormat="false" ht="12.8" hidden="false" customHeight="false" outlineLevel="0" collapsed="false">
      <c r="A53" s="0" t="s">
        <v>48</v>
      </c>
      <c r="D53" s="0" t="n">
        <v>94009276</v>
      </c>
      <c r="F53" s="2" t="s">
        <v>57</v>
      </c>
      <c r="G53" s="0" t="n">
        <v>1</v>
      </c>
      <c r="H53" s="0" t="s">
        <v>58</v>
      </c>
      <c r="I53" s="0" t="n">
        <v>64</v>
      </c>
      <c r="J53" s="0" t="n">
        <v>0</v>
      </c>
      <c r="K53" s="0" t="n">
        <v>0</v>
      </c>
      <c r="L53" s="0" t="n">
        <v>5</v>
      </c>
      <c r="M53" s="0" t="n">
        <v>1</v>
      </c>
      <c r="N53" s="0" t="n">
        <v>-1</v>
      </c>
      <c r="O53" s="0" t="n">
        <v>32</v>
      </c>
      <c r="P53" s="0" t="n">
        <v>32</v>
      </c>
      <c r="Q53" s="0" t="n">
        <v>50</v>
      </c>
      <c r="R53" s="0" t="n">
        <v>0</v>
      </c>
      <c r="S53" s="0" t="n">
        <v>45</v>
      </c>
      <c r="T53" s="0" t="n">
        <v>0</v>
      </c>
      <c r="V53" s="0" t="n">
        <v>1</v>
      </c>
      <c r="W53" s="0" t="n">
        <v>0</v>
      </c>
      <c r="X53" s="0" t="n">
        <v>0</v>
      </c>
      <c r="Y53" s="0" t="n">
        <v>0</v>
      </c>
      <c r="Z53" s="0" t="n">
        <v>0</v>
      </c>
      <c r="AA53" s="0" t="n">
        <v>0</v>
      </c>
      <c r="AB53" s="0" t="n">
        <v>0</v>
      </c>
      <c r="AC53" s="0" t="n">
        <v>0</v>
      </c>
      <c r="AD53" s="0" t="n">
        <v>0</v>
      </c>
      <c r="AE53" s="0" t="n">
        <v>1</v>
      </c>
      <c r="AF53" s="0" t="n">
        <v>0</v>
      </c>
      <c r="AG53" s="0" t="n">
        <v>0</v>
      </c>
      <c r="AH53" s="0" t="n">
        <v>0</v>
      </c>
      <c r="AI53" s="0" t="n">
        <v>0</v>
      </c>
      <c r="AJ53" s="0" t="n">
        <v>0</v>
      </c>
      <c r="AK53" s="0" t="n">
        <v>-1</v>
      </c>
      <c r="AL53" s="0" t="s">
        <v>61</v>
      </c>
      <c r="AM53" s="0" t="n">
        <v>0</v>
      </c>
      <c r="AP53" s="0" t="n">
        <v>0</v>
      </c>
      <c r="AQ53" s="0" t="n">
        <v>0</v>
      </c>
      <c r="AR53" s="0" t="n">
        <v>0</v>
      </c>
      <c r="AS53" s="0" t="n">
        <v>0</v>
      </c>
      <c r="AT53" s="0" t="n">
        <v>0</v>
      </c>
      <c r="AV53" s="0" t="n">
        <v>0</v>
      </c>
      <c r="AW53" s="0" t="n">
        <v>0</v>
      </c>
      <c r="AX53" s="0" t="n">
        <v>0</v>
      </c>
      <c r="AY53" s="0" t="n">
        <v>0</v>
      </c>
      <c r="AZ53" s="0" t="n">
        <v>0</v>
      </c>
      <c r="BC53" s="0" t="s">
        <v>62</v>
      </c>
      <c r="BD53" s="0" t="n">
        <v>0</v>
      </c>
      <c r="BE53" s="0" t="n">
        <v>0</v>
      </c>
      <c r="BF53" s="0" t="n">
        <v>0</v>
      </c>
    </row>
    <row r="54" customFormat="false" ht="12.8" hidden="false" customHeight="false" outlineLevel="0" collapsed="false">
      <c r="A54" s="0" t="s">
        <v>48</v>
      </c>
      <c r="D54" s="0" t="n">
        <v>94009340</v>
      </c>
      <c r="F54" s="2" t="s">
        <v>57</v>
      </c>
      <c r="G54" s="0" t="n">
        <v>1</v>
      </c>
      <c r="H54" s="0" t="s">
        <v>58</v>
      </c>
      <c r="I54" s="0" t="n">
        <v>352</v>
      </c>
      <c r="J54" s="0" t="n">
        <v>0</v>
      </c>
      <c r="K54" s="0" t="n">
        <v>0</v>
      </c>
      <c r="L54" s="0" t="n">
        <v>5</v>
      </c>
      <c r="M54" s="0" t="n">
        <v>1</v>
      </c>
      <c r="N54" s="0" t="n">
        <v>-1</v>
      </c>
      <c r="O54" s="0" t="n">
        <v>32</v>
      </c>
      <c r="P54" s="0" t="n">
        <v>32</v>
      </c>
      <c r="Q54" s="0" t="n">
        <v>50</v>
      </c>
      <c r="R54" s="0" t="n">
        <v>0</v>
      </c>
      <c r="S54" s="0" t="n">
        <v>45</v>
      </c>
      <c r="T54" s="0" t="n">
        <v>0</v>
      </c>
      <c r="V54" s="0" t="n">
        <v>1</v>
      </c>
      <c r="W54" s="0" t="n">
        <v>0</v>
      </c>
      <c r="X54" s="0" t="n">
        <v>0</v>
      </c>
      <c r="Y54" s="0" t="n">
        <v>0</v>
      </c>
      <c r="Z54" s="0" t="n">
        <v>0</v>
      </c>
      <c r="AA54" s="0" t="n">
        <v>0</v>
      </c>
      <c r="AB54" s="0" t="n">
        <v>0</v>
      </c>
      <c r="AC54" s="0" t="n">
        <v>0</v>
      </c>
      <c r="AD54" s="0" t="n">
        <v>0</v>
      </c>
      <c r="AE54" s="0" t="n">
        <v>1</v>
      </c>
      <c r="AF54" s="0" t="n">
        <v>0</v>
      </c>
      <c r="AG54" s="0" t="n">
        <v>0</v>
      </c>
      <c r="AH54" s="0" t="n">
        <v>0</v>
      </c>
      <c r="AI54" s="0" t="n">
        <v>0</v>
      </c>
      <c r="AJ54" s="0" t="n">
        <v>0</v>
      </c>
      <c r="AK54" s="0" t="n">
        <v>-1</v>
      </c>
      <c r="AL54" s="0" t="s">
        <v>63</v>
      </c>
      <c r="AM54" s="0" t="n">
        <v>0</v>
      </c>
      <c r="AP54" s="0" t="n">
        <v>0</v>
      </c>
      <c r="AQ54" s="0" t="n">
        <v>0</v>
      </c>
      <c r="AR54" s="0" t="n">
        <v>0</v>
      </c>
      <c r="AS54" s="0" t="n">
        <v>0</v>
      </c>
      <c r="AT54" s="0" t="n">
        <v>0</v>
      </c>
      <c r="AV54" s="0" t="n">
        <v>0</v>
      </c>
      <c r="AW54" s="0" t="n">
        <v>0</v>
      </c>
      <c r="AX54" s="0" t="n">
        <v>0</v>
      </c>
      <c r="AY54" s="0" t="n">
        <v>0</v>
      </c>
      <c r="AZ54" s="0" t="n">
        <v>0</v>
      </c>
      <c r="BC54" s="0" t="s">
        <v>62</v>
      </c>
      <c r="BD54" s="0" t="n">
        <v>0</v>
      </c>
      <c r="BE54" s="0" t="n">
        <v>0</v>
      </c>
      <c r="BF54" s="0" t="n">
        <v>0</v>
      </c>
    </row>
    <row r="55" customFormat="false" ht="12.8" hidden="false" customHeight="false" outlineLevel="0" collapsed="false">
      <c r="A55" s="0" t="s">
        <v>48</v>
      </c>
      <c r="D55" s="0" t="n">
        <v>94008188</v>
      </c>
      <c r="F55" s="2" t="s">
        <v>57</v>
      </c>
      <c r="G55" s="0" t="n">
        <v>1</v>
      </c>
      <c r="H55" s="0" t="s">
        <v>58</v>
      </c>
      <c r="I55" s="0" t="n">
        <v>384</v>
      </c>
      <c r="J55" s="0" t="n">
        <v>0</v>
      </c>
      <c r="K55" s="0" t="n">
        <v>5</v>
      </c>
      <c r="L55" s="0" t="n">
        <v>5</v>
      </c>
      <c r="M55" s="0" t="n">
        <v>1</v>
      </c>
      <c r="N55" s="0" t="n">
        <v>-1</v>
      </c>
      <c r="O55" s="0" t="n">
        <v>32</v>
      </c>
      <c r="P55" s="0" t="n">
        <v>32</v>
      </c>
      <c r="Q55" s="0" t="n">
        <v>50</v>
      </c>
      <c r="R55" s="0" t="n">
        <v>0</v>
      </c>
      <c r="S55" s="0" t="n">
        <v>45</v>
      </c>
      <c r="T55" s="0" t="n">
        <v>0</v>
      </c>
      <c r="V55" s="0" t="n">
        <v>1</v>
      </c>
      <c r="W55" s="0" t="n">
        <v>0</v>
      </c>
      <c r="X55" s="0" t="n">
        <v>0</v>
      </c>
      <c r="Y55" s="0" t="n">
        <v>0</v>
      </c>
      <c r="Z55" s="0" t="n">
        <v>0</v>
      </c>
      <c r="AA55" s="0" t="n">
        <v>0</v>
      </c>
      <c r="AB55" s="0" t="n">
        <v>0</v>
      </c>
      <c r="AC55" s="0" t="n">
        <v>0</v>
      </c>
      <c r="AD55" s="0" t="n">
        <v>0</v>
      </c>
      <c r="AE55" s="0" t="n">
        <v>1</v>
      </c>
      <c r="AF55" s="0" t="n">
        <v>0</v>
      </c>
      <c r="AG55" s="0" t="n">
        <v>0</v>
      </c>
      <c r="AH55" s="0" t="n">
        <v>0</v>
      </c>
      <c r="AI55" s="0" t="n">
        <v>0</v>
      </c>
      <c r="AJ55" s="0" t="n">
        <v>0</v>
      </c>
      <c r="AK55" s="0" t="n">
        <v>-1</v>
      </c>
      <c r="AL55" s="0" t="s">
        <v>64</v>
      </c>
      <c r="AM55" s="0" t="n">
        <v>0</v>
      </c>
      <c r="AP55" s="0" t="n">
        <v>0</v>
      </c>
      <c r="AQ55" s="0" t="n">
        <v>0</v>
      </c>
      <c r="AR55" s="0" t="n">
        <v>0</v>
      </c>
      <c r="AS55" s="0" t="n">
        <v>0</v>
      </c>
      <c r="AT55" s="0" t="n">
        <v>0</v>
      </c>
      <c r="AV55" s="0" t="n">
        <v>0</v>
      </c>
      <c r="AW55" s="0" t="n">
        <v>0</v>
      </c>
      <c r="AX55" s="0" t="n">
        <v>0</v>
      </c>
      <c r="AY55" s="0" t="n">
        <v>0</v>
      </c>
      <c r="AZ55" s="0" t="n">
        <v>0</v>
      </c>
      <c r="BC55" s="0" t="s">
        <v>65</v>
      </c>
      <c r="BD55" s="0" t="n">
        <v>0</v>
      </c>
      <c r="BE55" s="0" t="n">
        <v>0</v>
      </c>
      <c r="BF55" s="0" t="n">
        <v>0</v>
      </c>
    </row>
    <row r="56" customFormat="false" ht="12.8" hidden="false" customHeight="false" outlineLevel="0" collapsed="false">
      <c r="A56" s="0" t="s">
        <v>48</v>
      </c>
      <c r="D56" s="0" t="n">
        <v>94008700</v>
      </c>
      <c r="F56" s="2" t="s">
        <v>57</v>
      </c>
      <c r="G56" s="0" t="n">
        <v>1</v>
      </c>
      <c r="H56" s="0" t="s">
        <v>58</v>
      </c>
      <c r="I56" s="0" t="n">
        <v>416</v>
      </c>
      <c r="J56" s="0" t="n">
        <v>0</v>
      </c>
      <c r="K56" s="0" t="n">
        <v>5</v>
      </c>
      <c r="L56" s="0" t="n">
        <v>6</v>
      </c>
      <c r="M56" s="0" t="n">
        <v>1</v>
      </c>
      <c r="N56" s="0" t="n">
        <v>-1</v>
      </c>
      <c r="O56" s="0" t="n">
        <v>32</v>
      </c>
      <c r="P56" s="0" t="n">
        <v>32</v>
      </c>
      <c r="Q56" s="0" t="n">
        <v>50</v>
      </c>
      <c r="R56" s="0" t="n">
        <v>0</v>
      </c>
      <c r="S56" s="0" t="n">
        <v>45</v>
      </c>
      <c r="T56" s="0" t="n">
        <v>0</v>
      </c>
      <c r="V56" s="0" t="n">
        <v>1</v>
      </c>
      <c r="W56" s="0" t="n">
        <v>0</v>
      </c>
      <c r="X56" s="0" t="n">
        <v>0</v>
      </c>
      <c r="Y56" s="0" t="n">
        <v>0</v>
      </c>
      <c r="Z56" s="0" t="n">
        <v>0</v>
      </c>
      <c r="AA56" s="0" t="n">
        <v>0</v>
      </c>
      <c r="AB56" s="0" t="n">
        <v>0</v>
      </c>
      <c r="AC56" s="0" t="n">
        <v>0</v>
      </c>
      <c r="AD56" s="0" t="n">
        <v>0</v>
      </c>
      <c r="AE56" s="0" t="n">
        <v>1</v>
      </c>
      <c r="AF56" s="0" t="n">
        <v>0</v>
      </c>
      <c r="AG56" s="0" t="n">
        <v>0</v>
      </c>
      <c r="AH56" s="0" t="n">
        <v>0</v>
      </c>
      <c r="AI56" s="0" t="n">
        <v>0</v>
      </c>
      <c r="AJ56" s="0" t="n">
        <v>0</v>
      </c>
      <c r="AK56" s="0" t="n">
        <v>-1</v>
      </c>
      <c r="AL56" s="0" t="s">
        <v>66</v>
      </c>
      <c r="AM56" s="0" t="n">
        <v>0</v>
      </c>
      <c r="AP56" s="0" t="n">
        <v>0</v>
      </c>
      <c r="AQ56" s="0" t="n">
        <v>0</v>
      </c>
      <c r="AR56" s="0" t="n">
        <v>0</v>
      </c>
      <c r="AS56" s="0" t="n">
        <v>0</v>
      </c>
      <c r="AT56" s="0" t="n">
        <v>0</v>
      </c>
      <c r="AV56" s="0" t="n">
        <v>0</v>
      </c>
      <c r="AW56" s="0" t="n">
        <v>0</v>
      </c>
      <c r="AX56" s="0" t="n">
        <v>0</v>
      </c>
      <c r="AY56" s="0" t="n">
        <v>0</v>
      </c>
      <c r="AZ56" s="0" t="n">
        <v>0</v>
      </c>
      <c r="BC56" s="0" t="s">
        <v>65</v>
      </c>
      <c r="BD56" s="0" t="n">
        <v>0</v>
      </c>
      <c r="BE56" s="0" t="n">
        <v>0</v>
      </c>
      <c r="BF56" s="0" t="n">
        <v>0</v>
      </c>
    </row>
    <row r="58" customFormat="false" ht="12.8" hidden="false" customHeight="false" outlineLevel="0" collapsed="false">
      <c r="A58" s="0" t="s">
        <v>48</v>
      </c>
      <c r="D58" s="0" t="n">
        <v>94010684</v>
      </c>
      <c r="F58" s="2" t="s">
        <v>57</v>
      </c>
      <c r="G58" s="0" t="n">
        <v>1</v>
      </c>
      <c r="H58" s="0" t="s">
        <v>67</v>
      </c>
      <c r="I58" s="0" t="n">
        <v>32</v>
      </c>
      <c r="J58" s="0" t="n">
        <v>0</v>
      </c>
      <c r="K58" s="0" t="n">
        <v>12</v>
      </c>
      <c r="L58" s="0" t="n">
        <v>6</v>
      </c>
      <c r="M58" s="0" t="n">
        <v>0</v>
      </c>
      <c r="N58" s="0" t="n">
        <v>-1</v>
      </c>
      <c r="O58" s="0" t="n">
        <v>32</v>
      </c>
      <c r="P58" s="0" t="n">
        <v>32</v>
      </c>
      <c r="Q58" s="0" t="n">
        <v>50</v>
      </c>
      <c r="R58" s="0" t="n">
        <v>0</v>
      </c>
      <c r="S58" s="0" t="n">
        <v>45</v>
      </c>
      <c r="T58" s="0" t="n">
        <v>0</v>
      </c>
      <c r="V58" s="0" t="n">
        <v>1</v>
      </c>
      <c r="W58" s="0" t="n">
        <v>0</v>
      </c>
      <c r="X58" s="0" t="n">
        <v>0</v>
      </c>
      <c r="Y58" s="0" t="n">
        <v>0</v>
      </c>
      <c r="Z58" s="0" t="n">
        <v>0</v>
      </c>
      <c r="AA58" s="0" t="n">
        <v>0</v>
      </c>
      <c r="AB58" s="0" t="n">
        <v>0</v>
      </c>
      <c r="AC58" s="0" t="n">
        <v>0</v>
      </c>
      <c r="AD58" s="0" t="n">
        <v>0</v>
      </c>
      <c r="AE58" s="0" t="n">
        <v>1</v>
      </c>
      <c r="AF58" s="0" t="n">
        <v>0</v>
      </c>
      <c r="AG58" s="0" t="n">
        <v>0</v>
      </c>
      <c r="AH58" s="0" t="n">
        <v>0</v>
      </c>
      <c r="AI58" s="0" t="n">
        <v>0</v>
      </c>
      <c r="AJ58" s="0" t="n">
        <v>0</v>
      </c>
      <c r="AK58" s="0" t="n">
        <v>-1</v>
      </c>
      <c r="AL58" s="0" t="s">
        <v>68</v>
      </c>
      <c r="AM58" s="0" t="n">
        <v>0</v>
      </c>
      <c r="AP58" s="0" t="n">
        <v>0</v>
      </c>
      <c r="AQ58" s="0" t="n">
        <v>0</v>
      </c>
      <c r="AR58" s="0" t="n">
        <v>0</v>
      </c>
      <c r="AS58" s="0" t="n">
        <v>0</v>
      </c>
      <c r="AT58" s="0" t="n">
        <v>0</v>
      </c>
      <c r="AV58" s="0" t="n">
        <v>0</v>
      </c>
      <c r="AW58" s="0" t="n">
        <v>0</v>
      </c>
      <c r="AX58" s="0" t="n">
        <v>0</v>
      </c>
      <c r="AY58" s="0" t="n">
        <v>0</v>
      </c>
      <c r="AZ58" s="0" t="n">
        <v>0</v>
      </c>
      <c r="BC58" s="0" t="s">
        <v>60</v>
      </c>
      <c r="BD58" s="0" t="n">
        <v>0</v>
      </c>
      <c r="BE58" s="0" t="n">
        <v>0</v>
      </c>
      <c r="BF58" s="0" t="n">
        <v>0</v>
      </c>
    </row>
    <row r="59" customFormat="false" ht="12.8" hidden="false" customHeight="false" outlineLevel="0" collapsed="false">
      <c r="A59" s="0" t="s">
        <v>48</v>
      </c>
      <c r="D59" s="0" t="n">
        <v>94008956</v>
      </c>
      <c r="F59" s="2" t="s">
        <v>57</v>
      </c>
      <c r="G59" s="0" t="n">
        <v>1</v>
      </c>
      <c r="H59" s="0" t="s">
        <v>67</v>
      </c>
      <c r="I59" s="0" t="n">
        <v>64</v>
      </c>
      <c r="J59" s="0" t="n">
        <v>0</v>
      </c>
      <c r="K59" s="0" t="n">
        <v>0</v>
      </c>
      <c r="L59" s="0" t="n">
        <v>5</v>
      </c>
      <c r="M59" s="0" t="n">
        <v>1</v>
      </c>
      <c r="N59" s="0" t="n">
        <v>-1</v>
      </c>
      <c r="O59" s="0" t="n">
        <v>32</v>
      </c>
      <c r="P59" s="0" t="n">
        <v>32</v>
      </c>
      <c r="Q59" s="0" t="n">
        <v>50</v>
      </c>
      <c r="R59" s="0" t="n">
        <v>0</v>
      </c>
      <c r="S59" s="0" t="n">
        <v>45</v>
      </c>
      <c r="T59" s="0" t="n">
        <v>0</v>
      </c>
      <c r="V59" s="0" t="n">
        <v>1</v>
      </c>
      <c r="W59" s="0" t="n">
        <v>0</v>
      </c>
      <c r="X59" s="0" t="n">
        <v>0</v>
      </c>
      <c r="Y59" s="0" t="n">
        <v>0</v>
      </c>
      <c r="Z59" s="0" t="n">
        <v>0</v>
      </c>
      <c r="AA59" s="0" t="n">
        <v>0</v>
      </c>
      <c r="AB59" s="0" t="n">
        <v>0</v>
      </c>
      <c r="AC59" s="0" t="n">
        <v>0</v>
      </c>
      <c r="AD59" s="0" t="n">
        <v>0</v>
      </c>
      <c r="AE59" s="0" t="n">
        <v>1</v>
      </c>
      <c r="AF59" s="0" t="n">
        <v>0</v>
      </c>
      <c r="AG59" s="0" t="n">
        <v>0</v>
      </c>
      <c r="AH59" s="0" t="n">
        <v>0</v>
      </c>
      <c r="AI59" s="0" t="n">
        <v>0</v>
      </c>
      <c r="AJ59" s="0" t="n">
        <v>0</v>
      </c>
      <c r="AK59" s="0" t="n">
        <v>-1</v>
      </c>
      <c r="AL59" s="0" t="s">
        <v>69</v>
      </c>
      <c r="AM59" s="0" t="n">
        <v>0</v>
      </c>
      <c r="AP59" s="0" t="n">
        <v>0</v>
      </c>
      <c r="AQ59" s="0" t="n">
        <v>0</v>
      </c>
      <c r="AR59" s="0" t="n">
        <v>0</v>
      </c>
      <c r="AS59" s="0" t="n">
        <v>0</v>
      </c>
      <c r="AT59" s="0" t="n">
        <v>0</v>
      </c>
      <c r="AV59" s="0" t="n">
        <v>0</v>
      </c>
      <c r="AW59" s="0" t="n">
        <v>0</v>
      </c>
      <c r="AX59" s="0" t="n">
        <v>0</v>
      </c>
      <c r="AY59" s="0" t="n">
        <v>0</v>
      </c>
      <c r="AZ59" s="0" t="n">
        <v>0</v>
      </c>
      <c r="BC59" s="0" t="s">
        <v>62</v>
      </c>
      <c r="BD59" s="0" t="n">
        <v>0</v>
      </c>
      <c r="BE59" s="0" t="n">
        <v>0</v>
      </c>
      <c r="BF59" s="0" t="n">
        <v>0</v>
      </c>
    </row>
    <row r="60" customFormat="false" ht="12.8" hidden="false" customHeight="false" outlineLevel="0" collapsed="false">
      <c r="A60" s="0" t="s">
        <v>48</v>
      </c>
      <c r="D60" s="0" t="n">
        <v>94008316</v>
      </c>
      <c r="F60" s="2" t="s">
        <v>57</v>
      </c>
      <c r="G60" s="0" t="n">
        <v>1</v>
      </c>
      <c r="H60" s="0" t="s">
        <v>67</v>
      </c>
      <c r="I60" s="0" t="n">
        <v>352</v>
      </c>
      <c r="J60" s="0" t="n">
        <v>0</v>
      </c>
      <c r="K60" s="0" t="n">
        <v>0</v>
      </c>
      <c r="L60" s="0" t="n">
        <v>5</v>
      </c>
      <c r="M60" s="0" t="n">
        <v>1</v>
      </c>
      <c r="N60" s="0" t="n">
        <v>-1</v>
      </c>
      <c r="O60" s="0" t="n">
        <v>32</v>
      </c>
      <c r="P60" s="0" t="n">
        <v>32</v>
      </c>
      <c r="Q60" s="0" t="n">
        <v>50</v>
      </c>
      <c r="R60" s="0" t="n">
        <v>0</v>
      </c>
      <c r="S60" s="0" t="n">
        <v>45</v>
      </c>
      <c r="T60" s="0" t="n">
        <v>0</v>
      </c>
      <c r="V60" s="0" t="n">
        <v>1</v>
      </c>
      <c r="W60" s="0" t="n">
        <v>0</v>
      </c>
      <c r="X60" s="0" t="n">
        <v>0</v>
      </c>
      <c r="Y60" s="0" t="n">
        <v>0</v>
      </c>
      <c r="Z60" s="0" t="n">
        <v>0</v>
      </c>
      <c r="AA60" s="0" t="n">
        <v>0</v>
      </c>
      <c r="AB60" s="0" t="n">
        <v>0</v>
      </c>
      <c r="AC60" s="0" t="n">
        <v>0</v>
      </c>
      <c r="AD60" s="0" t="n">
        <v>0</v>
      </c>
      <c r="AE60" s="0" t="n">
        <v>1</v>
      </c>
      <c r="AF60" s="0" t="n">
        <v>0</v>
      </c>
      <c r="AG60" s="0" t="n">
        <v>0</v>
      </c>
      <c r="AH60" s="0" t="n">
        <v>0</v>
      </c>
      <c r="AI60" s="0" t="n">
        <v>0</v>
      </c>
      <c r="AJ60" s="0" t="n">
        <v>0</v>
      </c>
      <c r="AK60" s="0" t="n">
        <v>-1</v>
      </c>
      <c r="AL60" s="0" t="s">
        <v>70</v>
      </c>
      <c r="AM60" s="0" t="n">
        <v>0</v>
      </c>
      <c r="AP60" s="0" t="n">
        <v>0</v>
      </c>
      <c r="AQ60" s="0" t="n">
        <v>0</v>
      </c>
      <c r="AR60" s="0" t="n">
        <v>0</v>
      </c>
      <c r="AS60" s="0" t="n">
        <v>0</v>
      </c>
      <c r="AT60" s="0" t="n">
        <v>0</v>
      </c>
      <c r="AV60" s="0" t="n">
        <v>0</v>
      </c>
      <c r="AW60" s="0" t="n">
        <v>0</v>
      </c>
      <c r="AX60" s="0" t="n">
        <v>0</v>
      </c>
      <c r="AY60" s="0" t="n">
        <v>0</v>
      </c>
      <c r="AZ60" s="0" t="n">
        <v>0</v>
      </c>
      <c r="BC60" s="0" t="s">
        <v>62</v>
      </c>
      <c r="BD60" s="0" t="n">
        <v>0</v>
      </c>
      <c r="BE60" s="0" t="n">
        <v>0</v>
      </c>
      <c r="BF60" s="0" t="n">
        <v>0</v>
      </c>
    </row>
    <row r="61" customFormat="false" ht="12.8" hidden="false" customHeight="false" outlineLevel="0" collapsed="false">
      <c r="A61" s="0" t="s">
        <v>48</v>
      </c>
      <c r="D61" s="0" t="n">
        <v>94008124</v>
      </c>
      <c r="F61" s="2" t="s">
        <v>57</v>
      </c>
      <c r="G61" s="0" t="n">
        <v>1</v>
      </c>
      <c r="H61" s="0" t="s">
        <v>67</v>
      </c>
      <c r="I61" s="0" t="n">
        <v>384</v>
      </c>
      <c r="J61" s="0" t="n">
        <v>0</v>
      </c>
      <c r="K61" s="0" t="n">
        <v>5</v>
      </c>
      <c r="L61" s="0" t="n">
        <v>5</v>
      </c>
      <c r="M61" s="0" t="n">
        <v>1</v>
      </c>
      <c r="N61" s="0" t="n">
        <v>-1</v>
      </c>
      <c r="O61" s="0" t="n">
        <v>32</v>
      </c>
      <c r="P61" s="0" t="n">
        <v>32</v>
      </c>
      <c r="Q61" s="0" t="n">
        <v>50</v>
      </c>
      <c r="R61" s="0" t="n">
        <v>0</v>
      </c>
      <c r="S61" s="0" t="n">
        <v>45</v>
      </c>
      <c r="T61" s="0" t="n">
        <v>0</v>
      </c>
      <c r="V61" s="0" t="n">
        <v>1</v>
      </c>
      <c r="W61" s="0" t="n">
        <v>0</v>
      </c>
      <c r="X61" s="0" t="n">
        <v>0</v>
      </c>
      <c r="Y61" s="0" t="n">
        <v>0</v>
      </c>
      <c r="Z61" s="0" t="n">
        <v>0</v>
      </c>
      <c r="AA61" s="0" t="n">
        <v>0</v>
      </c>
      <c r="AB61" s="0" t="n">
        <v>0</v>
      </c>
      <c r="AC61" s="0" t="n">
        <v>0</v>
      </c>
      <c r="AD61" s="0" t="n">
        <v>0</v>
      </c>
      <c r="AE61" s="0" t="n">
        <v>1</v>
      </c>
      <c r="AF61" s="0" t="n">
        <v>0</v>
      </c>
      <c r="AG61" s="0" t="n">
        <v>0</v>
      </c>
      <c r="AH61" s="0" t="n">
        <v>0</v>
      </c>
      <c r="AI61" s="0" t="n">
        <v>0</v>
      </c>
      <c r="AJ61" s="0" t="n">
        <v>0</v>
      </c>
      <c r="AK61" s="0" t="n">
        <v>-1</v>
      </c>
      <c r="AL61" s="0" t="s">
        <v>71</v>
      </c>
      <c r="AM61" s="0" t="n">
        <v>0</v>
      </c>
      <c r="AP61" s="0" t="n">
        <v>0</v>
      </c>
      <c r="AQ61" s="0" t="n">
        <v>0</v>
      </c>
      <c r="AR61" s="0" t="n">
        <v>0</v>
      </c>
      <c r="AS61" s="0" t="n">
        <v>0</v>
      </c>
      <c r="AT61" s="0" t="n">
        <v>0</v>
      </c>
      <c r="AV61" s="0" t="n">
        <v>0</v>
      </c>
      <c r="AW61" s="0" t="n">
        <v>0</v>
      </c>
      <c r="AX61" s="0" t="n">
        <v>0</v>
      </c>
      <c r="AY61" s="0" t="n">
        <v>0</v>
      </c>
      <c r="AZ61" s="0" t="n">
        <v>0</v>
      </c>
      <c r="BC61" s="0" t="s">
        <v>65</v>
      </c>
      <c r="BD61" s="0" t="n">
        <v>0</v>
      </c>
      <c r="BE61" s="0" t="n">
        <v>0</v>
      </c>
      <c r="BF61" s="0" t="n">
        <v>0</v>
      </c>
    </row>
    <row r="62" customFormat="false" ht="12.8" hidden="false" customHeight="false" outlineLevel="0" collapsed="false">
      <c r="A62" s="0" t="s">
        <v>48</v>
      </c>
      <c r="D62" s="0" t="n">
        <v>94008572</v>
      </c>
      <c r="F62" s="2" t="s">
        <v>57</v>
      </c>
      <c r="G62" s="0" t="n">
        <v>1</v>
      </c>
      <c r="H62" s="0" t="s">
        <v>67</v>
      </c>
      <c r="I62" s="0" t="n">
        <v>416</v>
      </c>
      <c r="J62" s="0" t="n">
        <v>0</v>
      </c>
      <c r="K62" s="0" t="n">
        <v>5</v>
      </c>
      <c r="L62" s="0" t="n">
        <v>6</v>
      </c>
      <c r="M62" s="0" t="n">
        <v>1</v>
      </c>
      <c r="N62" s="0" t="n">
        <v>-1</v>
      </c>
      <c r="O62" s="0" t="n">
        <v>32</v>
      </c>
      <c r="P62" s="0" t="n">
        <v>32</v>
      </c>
      <c r="Q62" s="0" t="n">
        <v>50</v>
      </c>
      <c r="R62" s="0" t="n">
        <v>0</v>
      </c>
      <c r="S62" s="0" t="n">
        <v>45</v>
      </c>
      <c r="T62" s="0" t="n">
        <v>0</v>
      </c>
      <c r="V62" s="0" t="n">
        <v>1</v>
      </c>
      <c r="W62" s="0" t="n">
        <v>0</v>
      </c>
      <c r="X62" s="0" t="n">
        <v>0</v>
      </c>
      <c r="Y62" s="0" t="n">
        <v>0</v>
      </c>
      <c r="Z62" s="0" t="n">
        <v>0</v>
      </c>
      <c r="AA62" s="0" t="n">
        <v>0</v>
      </c>
      <c r="AB62" s="0" t="n">
        <v>0</v>
      </c>
      <c r="AC62" s="0" t="n">
        <v>0</v>
      </c>
      <c r="AD62" s="0" t="n">
        <v>0</v>
      </c>
      <c r="AE62" s="0" t="n">
        <v>1</v>
      </c>
      <c r="AF62" s="0" t="n">
        <v>0</v>
      </c>
      <c r="AG62" s="0" t="n">
        <v>0</v>
      </c>
      <c r="AH62" s="0" t="n">
        <v>0</v>
      </c>
      <c r="AI62" s="0" t="n">
        <v>0</v>
      </c>
      <c r="AJ62" s="0" t="n">
        <v>0</v>
      </c>
      <c r="AK62" s="0" t="n">
        <v>-1</v>
      </c>
      <c r="AL62" s="0" t="s">
        <v>72</v>
      </c>
      <c r="AM62" s="0" t="n">
        <v>0</v>
      </c>
      <c r="AP62" s="0" t="n">
        <v>0</v>
      </c>
      <c r="AQ62" s="0" t="n">
        <v>0</v>
      </c>
      <c r="AR62" s="0" t="n">
        <v>0</v>
      </c>
      <c r="AS62" s="0" t="n">
        <v>0</v>
      </c>
      <c r="AT62" s="0" t="n">
        <v>0</v>
      </c>
      <c r="AV62" s="0" t="n">
        <v>0</v>
      </c>
      <c r="AW62" s="0" t="n">
        <v>0</v>
      </c>
      <c r="AX62" s="0" t="n">
        <v>0</v>
      </c>
      <c r="AY62" s="0" t="n">
        <v>0</v>
      </c>
      <c r="AZ62" s="0" t="n">
        <v>0</v>
      </c>
      <c r="BC62" s="0" t="s">
        <v>65</v>
      </c>
      <c r="BD62" s="0" t="n">
        <v>0</v>
      </c>
      <c r="BE62" s="0" t="n">
        <v>0</v>
      </c>
      <c r="BF62" s="0" t="n">
        <v>0</v>
      </c>
    </row>
    <row r="64" customFormat="false" ht="12.8" hidden="false" customHeight="false" outlineLevel="0" collapsed="false">
      <c r="A64" s="0" t="s">
        <v>48</v>
      </c>
      <c r="D64" s="0" t="n">
        <v>96273492</v>
      </c>
      <c r="F64" s="2" t="s">
        <v>73</v>
      </c>
      <c r="G64" s="0" t="n">
        <v>4</v>
      </c>
      <c r="H64" s="0" t="n">
        <v>32</v>
      </c>
      <c r="I64" s="0" t="s">
        <v>50</v>
      </c>
      <c r="J64" s="0" t="n">
        <v>0</v>
      </c>
      <c r="K64" s="0" t="n">
        <v>22</v>
      </c>
      <c r="L64" s="0" t="n">
        <v>6</v>
      </c>
      <c r="M64" s="0" t="n">
        <v>0</v>
      </c>
      <c r="N64" s="0" t="n">
        <v>-1</v>
      </c>
      <c r="O64" s="0" t="n">
        <v>32</v>
      </c>
      <c r="P64" s="0" t="n">
        <v>32</v>
      </c>
      <c r="Q64" s="0" t="n">
        <v>50</v>
      </c>
      <c r="R64" s="0" t="n">
        <v>0</v>
      </c>
      <c r="S64" s="0" t="n">
        <v>45</v>
      </c>
      <c r="T64" s="0" t="n">
        <v>0</v>
      </c>
      <c r="V64" s="0" t="n">
        <v>1</v>
      </c>
      <c r="W64" s="0" t="n">
        <v>0</v>
      </c>
      <c r="X64" s="0" t="n">
        <v>0</v>
      </c>
      <c r="Y64" s="0" t="n">
        <v>0</v>
      </c>
      <c r="Z64" s="0" t="n">
        <v>0</v>
      </c>
      <c r="AA64" s="0" t="n">
        <v>0</v>
      </c>
      <c r="AB64" s="0" t="n">
        <v>0</v>
      </c>
      <c r="AC64" s="0" t="n">
        <v>0</v>
      </c>
      <c r="AD64" s="0" t="n">
        <v>0</v>
      </c>
      <c r="AE64" s="0" t="n">
        <v>1</v>
      </c>
      <c r="AF64" s="0" t="n">
        <v>0</v>
      </c>
      <c r="AG64" s="0" t="n">
        <v>0</v>
      </c>
      <c r="AH64" s="0" t="n">
        <v>0</v>
      </c>
      <c r="AI64" s="0" t="n">
        <v>0</v>
      </c>
      <c r="AJ64" s="0" t="n">
        <v>0</v>
      </c>
      <c r="AK64" s="0" t="n">
        <v>-1</v>
      </c>
      <c r="AL64" s="0" t="s">
        <v>74</v>
      </c>
      <c r="AM64" s="0" t="n">
        <v>0</v>
      </c>
      <c r="AP64" s="0" t="n">
        <v>0</v>
      </c>
      <c r="AQ64" s="0" t="n">
        <v>0</v>
      </c>
      <c r="AR64" s="0" t="n">
        <v>0</v>
      </c>
      <c r="AS64" s="0" t="n">
        <v>0</v>
      </c>
      <c r="AT64" s="0" t="n">
        <v>0</v>
      </c>
      <c r="AV64" s="0" t="n">
        <v>0</v>
      </c>
      <c r="AW64" s="0" t="n">
        <v>0</v>
      </c>
      <c r="AX64" s="0" t="n">
        <v>0</v>
      </c>
      <c r="AY64" s="0" t="n">
        <v>0</v>
      </c>
      <c r="AZ64" s="0" t="n">
        <v>0</v>
      </c>
      <c r="BC64" s="0" t="s">
        <v>75</v>
      </c>
      <c r="BD64" s="0" t="n">
        <v>0</v>
      </c>
      <c r="BE64" s="0" t="n">
        <v>0</v>
      </c>
      <c r="BF64" s="0" t="n">
        <v>0</v>
      </c>
    </row>
    <row r="65" customFormat="false" ht="12.8" hidden="false" customHeight="false" outlineLevel="0" collapsed="false">
      <c r="A65" s="0" t="s">
        <v>48</v>
      </c>
      <c r="D65" s="0" t="n">
        <v>96273428</v>
      </c>
      <c r="F65" s="2" t="s">
        <v>73</v>
      </c>
      <c r="G65" s="0" t="n">
        <v>4</v>
      </c>
      <c r="H65" s="0" t="n">
        <v>64</v>
      </c>
      <c r="I65" s="0" t="s">
        <v>50</v>
      </c>
      <c r="J65" s="0" t="n">
        <v>0</v>
      </c>
      <c r="K65" s="0" t="n">
        <v>30</v>
      </c>
      <c r="L65" s="0" t="s">
        <v>53</v>
      </c>
      <c r="M65" s="0" t="n">
        <v>0</v>
      </c>
      <c r="N65" s="0" t="n">
        <v>-1</v>
      </c>
      <c r="O65" s="0" t="n">
        <v>32</v>
      </c>
      <c r="P65" s="0" t="n">
        <v>32</v>
      </c>
      <c r="Q65" s="0" t="n">
        <v>50</v>
      </c>
      <c r="R65" s="0" t="n">
        <v>0</v>
      </c>
      <c r="S65" s="0" t="n">
        <v>45</v>
      </c>
      <c r="T65" s="0" t="n">
        <v>0</v>
      </c>
      <c r="V65" s="0" t="n">
        <v>1</v>
      </c>
      <c r="W65" s="0" t="n">
        <v>0</v>
      </c>
      <c r="X65" s="0" t="n">
        <v>0</v>
      </c>
      <c r="Y65" s="0" t="n">
        <v>0</v>
      </c>
      <c r="Z65" s="0" t="n">
        <v>0</v>
      </c>
      <c r="AA65" s="0" t="n">
        <v>0</v>
      </c>
      <c r="AB65" s="0" t="n">
        <v>0</v>
      </c>
      <c r="AC65" s="0" t="n">
        <v>0</v>
      </c>
      <c r="AD65" s="0" t="n">
        <v>0</v>
      </c>
      <c r="AE65" s="0" t="n">
        <v>1</v>
      </c>
      <c r="AF65" s="0" t="n">
        <v>0</v>
      </c>
      <c r="AG65" s="0" t="n">
        <v>0</v>
      </c>
      <c r="AH65" s="0" t="n">
        <v>0</v>
      </c>
      <c r="AI65" s="0" t="n">
        <v>0</v>
      </c>
      <c r="AJ65" s="0" t="n">
        <v>0</v>
      </c>
      <c r="AK65" s="0" t="n">
        <v>-1</v>
      </c>
      <c r="AL65" s="0" t="s">
        <v>76</v>
      </c>
      <c r="AM65" s="0" t="n">
        <v>0</v>
      </c>
      <c r="AP65" s="0" t="n">
        <v>0</v>
      </c>
      <c r="AQ65" s="0" t="n">
        <v>0</v>
      </c>
      <c r="AR65" s="0" t="n">
        <v>0</v>
      </c>
      <c r="AS65" s="0" t="n">
        <v>0</v>
      </c>
      <c r="AT65" s="0" t="n">
        <v>0</v>
      </c>
      <c r="AV65" s="0" t="n">
        <v>0</v>
      </c>
      <c r="AW65" s="0" t="n">
        <v>0</v>
      </c>
      <c r="AX65" s="0" t="n">
        <v>0</v>
      </c>
      <c r="AY65" s="0" t="n">
        <v>0</v>
      </c>
      <c r="AZ65" s="0" t="n">
        <v>0</v>
      </c>
      <c r="BC65" s="0" t="s">
        <v>75</v>
      </c>
      <c r="BD65" s="0" t="n">
        <v>0</v>
      </c>
      <c r="BE65" s="0" t="n">
        <v>0</v>
      </c>
      <c r="BF65" s="0" t="n">
        <v>0</v>
      </c>
    </row>
    <row r="66" customFormat="false" ht="12.8" hidden="false" customHeight="false" outlineLevel="0" collapsed="false">
      <c r="A66" s="0" t="s">
        <v>48</v>
      </c>
      <c r="D66" s="0" t="n">
        <v>96272148</v>
      </c>
      <c r="F66" s="2" t="s">
        <v>73</v>
      </c>
      <c r="G66" s="0" t="n">
        <v>4</v>
      </c>
      <c r="H66" s="0" t="n">
        <v>384</v>
      </c>
      <c r="I66" s="0" t="s">
        <v>50</v>
      </c>
      <c r="J66" s="0" t="n">
        <v>0</v>
      </c>
      <c r="K66" s="0" t="n">
        <v>30</v>
      </c>
      <c r="L66" s="0" t="s">
        <v>53</v>
      </c>
      <c r="M66" s="0" t="n">
        <v>0</v>
      </c>
      <c r="N66" s="0" t="n">
        <v>-1</v>
      </c>
      <c r="O66" s="0" t="n">
        <v>32</v>
      </c>
      <c r="P66" s="0" t="n">
        <v>32</v>
      </c>
      <c r="Q66" s="0" t="n">
        <v>50</v>
      </c>
      <c r="R66" s="0" t="n">
        <v>0</v>
      </c>
      <c r="S66" s="0" t="n">
        <v>45</v>
      </c>
      <c r="T66" s="0" t="n">
        <v>0</v>
      </c>
      <c r="V66" s="0" t="n">
        <v>1</v>
      </c>
      <c r="W66" s="0" t="n">
        <v>0</v>
      </c>
      <c r="X66" s="0" t="n">
        <v>0</v>
      </c>
      <c r="Y66" s="0" t="n">
        <v>0</v>
      </c>
      <c r="Z66" s="0" t="n">
        <v>0</v>
      </c>
      <c r="AA66" s="0" t="n">
        <v>0</v>
      </c>
      <c r="AB66" s="0" t="n">
        <v>0</v>
      </c>
      <c r="AC66" s="0" t="n">
        <v>0</v>
      </c>
      <c r="AD66" s="0" t="n">
        <v>0</v>
      </c>
      <c r="AE66" s="0" t="n">
        <v>1</v>
      </c>
      <c r="AF66" s="0" t="n">
        <v>0</v>
      </c>
      <c r="AG66" s="0" t="n">
        <v>0</v>
      </c>
      <c r="AH66" s="0" t="n">
        <v>0</v>
      </c>
      <c r="AI66" s="0" t="n">
        <v>0</v>
      </c>
      <c r="AJ66" s="0" t="n">
        <v>0</v>
      </c>
      <c r="AK66" s="0" t="n">
        <v>-1</v>
      </c>
      <c r="AL66" s="0" t="s">
        <v>77</v>
      </c>
      <c r="AM66" s="0" t="n">
        <v>0</v>
      </c>
      <c r="AP66" s="0" t="n">
        <v>0</v>
      </c>
      <c r="AQ66" s="0" t="n">
        <v>0</v>
      </c>
      <c r="AR66" s="0" t="n">
        <v>0</v>
      </c>
      <c r="AS66" s="0" t="n">
        <v>0</v>
      </c>
      <c r="AT66" s="0" t="n">
        <v>0</v>
      </c>
      <c r="AV66" s="0" t="n">
        <v>0</v>
      </c>
      <c r="AW66" s="0" t="n">
        <v>0</v>
      </c>
      <c r="AX66" s="0" t="n">
        <v>0</v>
      </c>
      <c r="AY66" s="0" t="n">
        <v>0</v>
      </c>
      <c r="AZ66" s="0" t="n">
        <v>0</v>
      </c>
      <c r="BC66" s="0" t="s">
        <v>75</v>
      </c>
      <c r="BD66" s="0" t="n">
        <v>0</v>
      </c>
      <c r="BE66" s="0" t="n">
        <v>0</v>
      </c>
      <c r="BF66" s="0" t="n">
        <v>0</v>
      </c>
    </row>
    <row r="67" customFormat="false" ht="12.8" hidden="false" customHeight="false" outlineLevel="0" collapsed="false">
      <c r="A67" s="0" t="s">
        <v>48</v>
      </c>
      <c r="D67" s="0" t="n">
        <v>96272660</v>
      </c>
      <c r="F67" s="2" t="s">
        <v>73</v>
      </c>
      <c r="G67" s="0" t="n">
        <v>4</v>
      </c>
      <c r="H67" s="0" t="n">
        <v>416</v>
      </c>
      <c r="I67" s="0" t="s">
        <v>50</v>
      </c>
      <c r="J67" s="0" t="n">
        <v>0</v>
      </c>
      <c r="K67" s="0" t="n">
        <v>22</v>
      </c>
      <c r="L67" s="0" t="n">
        <v>6</v>
      </c>
      <c r="M67" s="0" t="n">
        <v>0</v>
      </c>
      <c r="N67" s="0" t="n">
        <v>-1</v>
      </c>
      <c r="O67" s="0" t="n">
        <v>32</v>
      </c>
      <c r="P67" s="0" t="n">
        <v>32</v>
      </c>
      <c r="Q67" s="0" t="n">
        <v>50</v>
      </c>
      <c r="R67" s="0" t="n">
        <v>0</v>
      </c>
      <c r="S67" s="0" t="n">
        <v>45</v>
      </c>
      <c r="T67" s="0" t="n">
        <v>0</v>
      </c>
      <c r="V67" s="0" t="n">
        <v>1</v>
      </c>
      <c r="W67" s="0" t="n">
        <v>0</v>
      </c>
      <c r="X67" s="0" t="n">
        <v>0</v>
      </c>
      <c r="Y67" s="0" t="n">
        <v>0</v>
      </c>
      <c r="Z67" s="0" t="n">
        <v>0</v>
      </c>
      <c r="AA67" s="0" t="n">
        <v>0</v>
      </c>
      <c r="AB67" s="0" t="n">
        <v>0</v>
      </c>
      <c r="AC67" s="0" t="n">
        <v>0</v>
      </c>
      <c r="AD67" s="0" t="n">
        <v>0</v>
      </c>
      <c r="AE67" s="0" t="n">
        <v>1</v>
      </c>
      <c r="AF67" s="0" t="n">
        <v>0</v>
      </c>
      <c r="AG67" s="0" t="n">
        <v>0</v>
      </c>
      <c r="AH67" s="0" t="n">
        <v>0</v>
      </c>
      <c r="AI67" s="0" t="n">
        <v>0</v>
      </c>
      <c r="AJ67" s="0" t="n">
        <v>0</v>
      </c>
      <c r="AK67" s="0" t="n">
        <v>-1</v>
      </c>
      <c r="AL67" s="0" t="s">
        <v>78</v>
      </c>
      <c r="AM67" s="0" t="n">
        <v>0</v>
      </c>
      <c r="AP67" s="0" t="n">
        <v>0</v>
      </c>
      <c r="AQ67" s="0" t="n">
        <v>0</v>
      </c>
      <c r="AR67" s="0" t="n">
        <v>0</v>
      </c>
      <c r="AS67" s="0" t="n">
        <v>0</v>
      </c>
      <c r="AT67" s="0" t="n">
        <v>0</v>
      </c>
      <c r="AV67" s="0" t="n">
        <v>0</v>
      </c>
      <c r="AW67" s="0" t="n">
        <v>0</v>
      </c>
      <c r="AX67" s="0" t="n">
        <v>0</v>
      </c>
      <c r="AY67" s="0" t="n">
        <v>0</v>
      </c>
      <c r="AZ67" s="0" t="n">
        <v>0</v>
      </c>
      <c r="BC67" s="0" t="s">
        <v>75</v>
      </c>
      <c r="BD67" s="0" t="n">
        <v>0</v>
      </c>
      <c r="BE67" s="0" t="n">
        <v>0</v>
      </c>
      <c r="BF67" s="0" t="n">
        <v>0</v>
      </c>
    </row>
    <row r="70" customFormat="false" ht="12.8" hidden="false" customHeight="false" outlineLevel="0" collapsed="false">
      <c r="A70" s="0" t="s">
        <v>79</v>
      </c>
    </row>
    <row r="72" customFormat="false" ht="12.8" hidden="false" customHeight="false" outlineLevel="0" collapsed="false">
      <c r="A72" s="0" t="s">
        <v>80</v>
      </c>
    </row>
    <row r="74" customFormat="false" ht="12.8" hidden="false" customHeight="false" outlineLevel="0" collapsed="false">
      <c r="A74" s="0" t="s">
        <v>81</v>
      </c>
    </row>
    <row r="76" customFormat="false" ht="12.8" hidden="false" customHeight="false" outlineLevel="0" collapsed="false">
      <c r="A76" s="0" t="s">
        <v>82</v>
      </c>
    </row>
    <row r="78" customFormat="false" ht="12.8" hidden="false" customHeight="false" outlineLevel="0" collapsed="false">
      <c r="A78" s="0" t="s">
        <v>83</v>
      </c>
    </row>
    <row r="80" customFormat="false" ht="12.8" hidden="false" customHeight="false" outlineLevel="0" collapsed="false">
      <c r="A80" s="0" t="s">
        <v>84</v>
      </c>
    </row>
    <row r="81" customFormat="false" ht="12.8" hidden="false" customHeight="false" outlineLevel="0" collapsed="false"/>
    <row r="82" customFormat="false" ht="12.8" hidden="false" customHeight="false" outlineLevel="0" collapsed="false"/>
    <row r="83" customFormat="false" ht="12.8" hidden="false" customHeight="false" outlineLevel="0" collapsed="false"/>
    <row r="84" customFormat="false" ht="12.8" hidden="false" customHeight="false" outlineLevel="0" collapsed="false"/>
    <row r="85" customFormat="false" ht="12.8" hidden="false" customHeight="false" outlineLevel="0" collapsed="false"/>
    <row r="86" customFormat="false" ht="12.8" hidden="false" customHeight="false" outlineLevel="0" collapsed="false"/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G3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Z26" activeCellId="0" sqref="AZ26"/>
    </sheetView>
  </sheetViews>
  <sheetFormatPr defaultRowHeight="12.75" zeroHeight="false" outlineLevelRow="0" outlineLevelCol="0"/>
  <cols>
    <col collapsed="false" customWidth="true" hidden="false" outlineLevel="0" max="6" min="1" style="0" width="2.42"/>
    <col collapsed="false" customWidth="true" hidden="false" outlineLevel="0" max="53" min="7" style="0" width="2.57"/>
    <col collapsed="false" customWidth="true" hidden="false" outlineLevel="0" max="1025" min="54" style="0" width="2.42"/>
  </cols>
  <sheetData>
    <row r="1" customFormat="false" ht="12.75" hidden="false" customHeight="false" outlineLevel="0" collapsed="false">
      <c r="A1" s="0" t="s">
        <v>85</v>
      </c>
      <c r="AP1" s="3"/>
    </row>
    <row r="2" customFormat="false" ht="12.75" hidden="false" customHeight="false" outlineLevel="0" collapsed="false">
      <c r="A2" s="0" t="s">
        <v>86</v>
      </c>
      <c r="D2" s="0" t="s">
        <v>87</v>
      </c>
      <c r="AP2" s="3"/>
    </row>
    <row r="3" customFormat="false" ht="12.75" hidden="false" customHeight="true" outlineLevel="0" collapsed="false">
      <c r="A3" s="4" t="s">
        <v>88</v>
      </c>
      <c r="D3" s="5" t="n">
        <v>640</v>
      </c>
      <c r="E3" s="5"/>
      <c r="I3" s="6"/>
      <c r="J3" s="7"/>
      <c r="K3" s="7"/>
      <c r="L3" s="6"/>
      <c r="M3" s="7"/>
      <c r="N3" s="7"/>
      <c r="P3" s="8"/>
      <c r="Q3" s="8"/>
      <c r="S3" s="8"/>
      <c r="T3" s="8"/>
      <c r="V3" s="9"/>
      <c r="Y3" s="9"/>
      <c r="AB3" s="8"/>
      <c r="AC3" s="8"/>
      <c r="AE3" s="8"/>
      <c r="AF3" s="8"/>
      <c r="AH3" s="8"/>
      <c r="AI3" s="8"/>
      <c r="AK3" s="8"/>
      <c r="AL3" s="8"/>
      <c r="AN3" s="8"/>
      <c r="AO3" s="8"/>
      <c r="AQ3" s="8"/>
      <c r="AR3" s="8"/>
      <c r="AU3" s="10"/>
    </row>
    <row r="4" s="9" customFormat="true" ht="12.75" hidden="false" customHeight="true" outlineLevel="0" collapsed="false">
      <c r="A4" s="11" t="s">
        <v>89</v>
      </c>
      <c r="D4" s="5" t="n">
        <v>250</v>
      </c>
      <c r="E4" s="5"/>
      <c r="F4" s="12"/>
      <c r="H4" s="13"/>
      <c r="I4" s="13"/>
      <c r="J4" s="14"/>
      <c r="K4" s="15"/>
      <c r="L4" s="15"/>
      <c r="M4" s="14"/>
      <c r="N4" s="15"/>
      <c r="O4" s="15"/>
      <c r="P4" s="14"/>
      <c r="Q4" s="15"/>
      <c r="R4" s="15"/>
      <c r="S4" s="14"/>
      <c r="T4" s="15"/>
      <c r="U4" s="15"/>
      <c r="V4" s="14"/>
      <c r="W4" s="15"/>
      <c r="X4" s="15"/>
      <c r="Y4" s="14"/>
      <c r="Z4" s="15"/>
      <c r="AA4" s="15"/>
      <c r="AB4" s="14"/>
      <c r="AC4" s="15"/>
      <c r="AD4" s="15"/>
      <c r="AE4" s="14"/>
      <c r="AF4" s="15"/>
      <c r="AG4" s="15"/>
      <c r="AH4" s="14"/>
      <c r="AI4" s="15"/>
      <c r="AJ4" s="15"/>
      <c r="AK4" s="14"/>
      <c r="AL4" s="15"/>
      <c r="AM4" s="15"/>
      <c r="AN4" s="14"/>
      <c r="AO4" s="15"/>
      <c r="AP4" s="15"/>
      <c r="AQ4" s="14"/>
      <c r="AR4" s="15"/>
      <c r="AS4" s="15"/>
      <c r="AT4" s="14"/>
      <c r="AU4" s="15"/>
      <c r="AV4" s="15"/>
      <c r="AW4" s="14"/>
      <c r="AX4" s="15"/>
      <c r="AY4" s="15"/>
      <c r="AZ4" s="16"/>
    </row>
    <row r="5" customFormat="false" ht="12.75" hidden="false" customHeight="true" outlineLevel="0" collapsed="false">
      <c r="A5" s="11" t="s">
        <v>90</v>
      </c>
      <c r="D5" s="5" t="n">
        <v>15</v>
      </c>
      <c r="E5" s="5"/>
      <c r="G5" s="17" t="n">
        <v>1</v>
      </c>
      <c r="H5" s="18"/>
      <c r="I5" s="19"/>
      <c r="J5" s="20" t="n">
        <v>1</v>
      </c>
      <c r="K5" s="18"/>
      <c r="L5" s="18"/>
      <c r="M5" s="20" t="n">
        <v>1</v>
      </c>
      <c r="N5" s="18"/>
      <c r="O5" s="18"/>
      <c r="P5" s="20" t="n">
        <v>1</v>
      </c>
      <c r="Q5" s="18"/>
      <c r="R5" s="18"/>
      <c r="S5" s="20" t="n">
        <v>1</v>
      </c>
      <c r="T5" s="18"/>
      <c r="U5" s="18"/>
      <c r="V5" s="20" t="n">
        <v>1</v>
      </c>
      <c r="W5" s="18"/>
      <c r="X5" s="18"/>
      <c r="Y5" s="20" t="n">
        <v>1</v>
      </c>
      <c r="Z5" s="18"/>
      <c r="AA5" s="18"/>
      <c r="AB5" s="20" t="n">
        <v>1</v>
      </c>
      <c r="AC5" s="18"/>
      <c r="AD5" s="18"/>
      <c r="AE5" s="20" t="n">
        <v>1</v>
      </c>
      <c r="AF5" s="18"/>
      <c r="AG5" s="18"/>
      <c r="AH5" s="20" t="n">
        <v>1</v>
      </c>
      <c r="AI5" s="18"/>
      <c r="AJ5" s="18"/>
      <c r="AK5" s="20" t="n">
        <v>1</v>
      </c>
      <c r="AL5" s="18"/>
      <c r="AM5" s="18"/>
      <c r="AN5" s="20" t="n">
        <v>1</v>
      </c>
      <c r="AO5" s="18"/>
      <c r="AP5" s="18"/>
      <c r="AQ5" s="20" t="n">
        <v>1</v>
      </c>
      <c r="AR5" s="18"/>
      <c r="AS5" s="18"/>
      <c r="AT5" s="20" t="n">
        <v>1</v>
      </c>
      <c r="AU5" s="18"/>
      <c r="AV5" s="18"/>
      <c r="AW5" s="20" t="n">
        <v>1</v>
      </c>
      <c r="AX5" s="18"/>
      <c r="AY5" s="18"/>
      <c r="AZ5" s="17" t="n">
        <v>1</v>
      </c>
      <c r="BA5" s="18"/>
      <c r="BB5" s="19"/>
    </row>
    <row r="6" customFormat="false" ht="12.75" hidden="false" customHeight="true" outlineLevel="0" collapsed="false">
      <c r="A6" s="4" t="s">
        <v>91</v>
      </c>
      <c r="B6" s="19"/>
      <c r="C6" s="19"/>
      <c r="D6" s="5" t="n">
        <v>0</v>
      </c>
      <c r="E6" s="5"/>
      <c r="G6" s="17" t="n">
        <v>2</v>
      </c>
      <c r="H6" s="18"/>
      <c r="I6" s="19"/>
      <c r="J6" s="20" t="n">
        <v>2</v>
      </c>
      <c r="K6" s="18"/>
      <c r="L6" s="18"/>
      <c r="M6" s="20" t="n">
        <v>2</v>
      </c>
      <c r="N6" s="18"/>
      <c r="O6" s="18"/>
      <c r="P6" s="20" t="n">
        <v>2</v>
      </c>
      <c r="Q6" s="18"/>
      <c r="R6" s="18"/>
      <c r="S6" s="20" t="n">
        <v>2</v>
      </c>
      <c r="T6" s="18"/>
      <c r="U6" s="18"/>
      <c r="V6" s="20" t="n">
        <v>2</v>
      </c>
      <c r="W6" s="18"/>
      <c r="X6" s="18"/>
      <c r="Y6" s="20" t="n">
        <v>2</v>
      </c>
      <c r="Z6" s="18"/>
      <c r="AA6" s="18"/>
      <c r="AB6" s="20" t="n">
        <v>2</v>
      </c>
      <c r="AC6" s="18"/>
      <c r="AD6" s="18"/>
      <c r="AE6" s="20" t="n">
        <v>2</v>
      </c>
      <c r="AF6" s="18"/>
      <c r="AG6" s="18"/>
      <c r="AH6" s="20" t="n">
        <v>2</v>
      </c>
      <c r="AI6" s="18"/>
      <c r="AJ6" s="18"/>
      <c r="AK6" s="20" t="n">
        <v>2</v>
      </c>
      <c r="AL6" s="18"/>
      <c r="AM6" s="18"/>
      <c r="AN6" s="20" t="n">
        <v>2</v>
      </c>
      <c r="AO6" s="18"/>
      <c r="AP6" s="18"/>
      <c r="AQ6" s="20" t="n">
        <v>2</v>
      </c>
      <c r="AR6" s="18"/>
      <c r="AS6" s="18"/>
      <c r="AT6" s="20" t="n">
        <v>2</v>
      </c>
      <c r="AU6" s="18"/>
      <c r="AV6" s="18"/>
      <c r="AW6" s="20" t="n">
        <v>2</v>
      </c>
      <c r="AX6" s="18"/>
      <c r="AY6" s="18"/>
      <c r="AZ6" s="17" t="n">
        <v>2</v>
      </c>
      <c r="BA6" s="18"/>
      <c r="BB6" s="19"/>
    </row>
    <row r="7" s="19" customFormat="true" ht="12.75" hidden="false" customHeight="true" outlineLevel="0" collapsed="false">
      <c r="G7" s="17" t="n">
        <v>3</v>
      </c>
      <c r="J7" s="20" t="n">
        <v>3</v>
      </c>
      <c r="L7" s="18"/>
      <c r="M7" s="20" t="n">
        <v>3</v>
      </c>
      <c r="O7" s="18"/>
      <c r="P7" s="20" t="n">
        <v>3</v>
      </c>
      <c r="R7" s="18"/>
      <c r="S7" s="20" t="n">
        <v>3</v>
      </c>
      <c r="U7" s="18"/>
      <c r="V7" s="20" t="n">
        <v>3</v>
      </c>
      <c r="X7" s="18"/>
      <c r="Y7" s="20" t="n">
        <v>3</v>
      </c>
      <c r="AA7" s="18"/>
      <c r="AB7" s="20" t="n">
        <v>3</v>
      </c>
      <c r="AD7" s="18"/>
      <c r="AE7" s="20" t="n">
        <v>3</v>
      </c>
      <c r="AG7" s="18"/>
      <c r="AH7" s="20" t="n">
        <v>3</v>
      </c>
      <c r="AJ7" s="18"/>
      <c r="AK7" s="20" t="n">
        <v>3</v>
      </c>
      <c r="AM7" s="18"/>
      <c r="AN7" s="20" t="n">
        <v>3</v>
      </c>
      <c r="AP7" s="18"/>
      <c r="AQ7" s="20" t="n">
        <v>3</v>
      </c>
      <c r="AS7" s="18"/>
      <c r="AT7" s="20" t="n">
        <v>3</v>
      </c>
      <c r="AV7" s="18"/>
      <c r="AW7" s="20" t="n">
        <v>3</v>
      </c>
      <c r="AY7" s="18"/>
      <c r="AZ7" s="17" t="n">
        <v>3</v>
      </c>
      <c r="BF7" s="21"/>
      <c r="BG7" s="21"/>
    </row>
    <row r="8" customFormat="false" ht="12.75" hidden="false" customHeight="true" outlineLevel="0" collapsed="false">
      <c r="G8" s="17" t="n">
        <v>4</v>
      </c>
      <c r="H8" s="18"/>
      <c r="I8" s="19"/>
      <c r="J8" s="20" t="n">
        <v>4</v>
      </c>
      <c r="K8" s="18"/>
      <c r="L8" s="18"/>
      <c r="M8" s="20" t="n">
        <v>4</v>
      </c>
      <c r="N8" s="18"/>
      <c r="O8" s="18"/>
      <c r="P8" s="20" t="n">
        <v>4</v>
      </c>
      <c r="Q8" s="18"/>
      <c r="R8" s="18"/>
      <c r="S8" s="20" t="n">
        <v>4</v>
      </c>
      <c r="T8" s="18"/>
      <c r="U8" s="18"/>
      <c r="V8" s="20" t="n">
        <v>4</v>
      </c>
      <c r="W8" s="18"/>
      <c r="X8" s="18"/>
      <c r="Y8" s="20" t="n">
        <v>4</v>
      </c>
      <c r="Z8" s="18"/>
      <c r="AA8" s="18"/>
      <c r="AB8" s="20" t="n">
        <v>4</v>
      </c>
      <c r="AC8" s="18"/>
      <c r="AD8" s="18"/>
      <c r="AE8" s="20" t="n">
        <v>4</v>
      </c>
      <c r="AF8" s="18"/>
      <c r="AG8" s="18"/>
      <c r="AH8" s="20" t="n">
        <v>4</v>
      </c>
      <c r="AI8" s="18"/>
      <c r="AJ8" s="18"/>
      <c r="AK8" s="20" t="n">
        <v>4</v>
      </c>
      <c r="AL8" s="18"/>
      <c r="AM8" s="18"/>
      <c r="AN8" s="20" t="n">
        <v>4</v>
      </c>
      <c r="AO8" s="18"/>
      <c r="AP8" s="18"/>
      <c r="AQ8" s="20" t="n">
        <v>4</v>
      </c>
      <c r="AR8" s="18"/>
      <c r="AS8" s="18"/>
      <c r="AT8" s="20" t="n">
        <v>4</v>
      </c>
      <c r="AU8" s="18"/>
      <c r="AV8" s="18"/>
      <c r="AW8" s="20" t="n">
        <v>4</v>
      </c>
      <c r="AX8" s="18"/>
      <c r="AY8" s="18"/>
      <c r="AZ8" s="17" t="n">
        <v>4</v>
      </c>
      <c r="BA8" s="18"/>
      <c r="BB8" s="19"/>
      <c r="BF8" s="19"/>
      <c r="BG8" s="19"/>
    </row>
    <row r="9" s="19" customFormat="true" ht="12.75" hidden="false" customHeight="true" outlineLevel="0" collapsed="false">
      <c r="G9" s="17" t="n">
        <v>5</v>
      </c>
      <c r="H9" s="18"/>
      <c r="J9" s="20" t="n">
        <v>5</v>
      </c>
      <c r="K9" s="18"/>
      <c r="L9" s="18"/>
      <c r="M9" s="20" t="n">
        <v>5</v>
      </c>
      <c r="N9" s="18"/>
      <c r="O9" s="18"/>
      <c r="P9" s="20" t="n">
        <v>5</v>
      </c>
      <c r="Q9" s="18"/>
      <c r="R9" s="18"/>
      <c r="S9" s="20" t="n">
        <v>5</v>
      </c>
      <c r="T9" s="18"/>
      <c r="U9" s="18"/>
      <c r="V9" s="20" t="n">
        <v>5</v>
      </c>
      <c r="W9" s="18"/>
      <c r="X9" s="18"/>
      <c r="Y9" s="20" t="n">
        <v>5</v>
      </c>
      <c r="Z9" s="18"/>
      <c r="AA9" s="18"/>
      <c r="AB9" s="20" t="n">
        <v>5</v>
      </c>
      <c r="AC9" s="18"/>
      <c r="AD9" s="18"/>
      <c r="AE9" s="20" t="n">
        <v>5</v>
      </c>
      <c r="AF9" s="18"/>
      <c r="AG9" s="18"/>
      <c r="AH9" s="20" t="n">
        <v>5</v>
      </c>
      <c r="AI9" s="18"/>
      <c r="AJ9" s="18"/>
      <c r="AK9" s="20" t="n">
        <v>5</v>
      </c>
      <c r="AL9" s="18"/>
      <c r="AM9" s="18"/>
      <c r="AN9" s="20" t="n">
        <v>5</v>
      </c>
      <c r="AO9" s="18"/>
      <c r="AP9" s="18"/>
      <c r="AQ9" s="20" t="n">
        <v>5</v>
      </c>
      <c r="AR9" s="18"/>
      <c r="AS9" s="18"/>
      <c r="AT9" s="20" t="n">
        <v>5</v>
      </c>
      <c r="AU9" s="18"/>
      <c r="AV9" s="18"/>
      <c r="AW9" s="20" t="n">
        <v>5</v>
      </c>
      <c r="AX9" s="18"/>
      <c r="AY9" s="18"/>
      <c r="AZ9" s="17" t="n">
        <v>5</v>
      </c>
      <c r="BA9" s="18"/>
    </row>
    <row r="10" customFormat="false" ht="12.75" hidden="false" customHeight="true" outlineLevel="0" collapsed="false">
      <c r="G10" s="17" t="n">
        <v>6</v>
      </c>
      <c r="H10" s="18"/>
      <c r="I10" s="19"/>
      <c r="J10" s="20" t="n">
        <v>6</v>
      </c>
      <c r="K10" s="18"/>
      <c r="L10" s="18"/>
      <c r="M10" s="20" t="n">
        <v>6</v>
      </c>
      <c r="N10" s="18"/>
      <c r="O10" s="18"/>
      <c r="P10" s="20" t="n">
        <v>6</v>
      </c>
      <c r="Q10" s="18"/>
      <c r="R10" s="18"/>
      <c r="S10" s="20" t="n">
        <v>6</v>
      </c>
      <c r="T10" s="18"/>
      <c r="U10" s="18"/>
      <c r="V10" s="20" t="n">
        <v>6</v>
      </c>
      <c r="W10" s="18"/>
      <c r="X10" s="18"/>
      <c r="Y10" s="20" t="n">
        <v>6</v>
      </c>
      <c r="Z10" s="18"/>
      <c r="AA10" s="18"/>
      <c r="AB10" s="20" t="n">
        <v>6</v>
      </c>
      <c r="AC10" s="18"/>
      <c r="AD10" s="18"/>
      <c r="AE10" s="20" t="n">
        <v>6</v>
      </c>
      <c r="AF10" s="18"/>
      <c r="AG10" s="18"/>
      <c r="AH10" s="20" t="n">
        <v>6</v>
      </c>
      <c r="AI10" s="18"/>
      <c r="AJ10" s="18"/>
      <c r="AK10" s="20" t="n">
        <v>6</v>
      </c>
      <c r="AL10" s="18"/>
      <c r="AM10" s="18"/>
      <c r="AN10" s="20" t="n">
        <v>6</v>
      </c>
      <c r="AO10" s="18"/>
      <c r="AP10" s="18"/>
      <c r="AQ10" s="20" t="n">
        <v>6</v>
      </c>
      <c r="AR10" s="18"/>
      <c r="AS10" s="18"/>
      <c r="AT10" s="20" t="n">
        <v>6</v>
      </c>
      <c r="AU10" s="18"/>
      <c r="AV10" s="18"/>
      <c r="AW10" s="20" t="n">
        <v>6</v>
      </c>
      <c r="AX10" s="18"/>
      <c r="AY10" s="18"/>
      <c r="AZ10" s="17" t="n">
        <v>6</v>
      </c>
      <c r="BA10" s="18"/>
      <c r="BB10" s="19"/>
      <c r="BF10" s="19"/>
      <c r="BG10" s="19"/>
    </row>
    <row r="11" customFormat="false" ht="12.75" hidden="false" customHeight="true" outlineLevel="0" collapsed="false">
      <c r="G11" s="17" t="n">
        <v>7</v>
      </c>
      <c r="H11" s="19"/>
      <c r="I11" s="19"/>
      <c r="J11" s="20" t="n">
        <v>7</v>
      </c>
      <c r="K11" s="19"/>
      <c r="L11" s="18"/>
      <c r="M11" s="20" t="n">
        <v>7</v>
      </c>
      <c r="N11" s="19"/>
      <c r="O11" s="18"/>
      <c r="P11" s="20" t="n">
        <v>7</v>
      </c>
      <c r="Q11" s="19"/>
      <c r="R11" s="18"/>
      <c r="S11" s="20" t="n">
        <v>7</v>
      </c>
      <c r="T11" s="19"/>
      <c r="U11" s="18"/>
      <c r="V11" s="20" t="n">
        <v>7</v>
      </c>
      <c r="W11" s="19"/>
      <c r="X11" s="18"/>
      <c r="Y11" s="20" t="n">
        <v>7</v>
      </c>
      <c r="Z11" s="19"/>
      <c r="AA11" s="18"/>
      <c r="AB11" s="20" t="n">
        <v>7</v>
      </c>
      <c r="AC11" s="19"/>
      <c r="AD11" s="18"/>
      <c r="AE11" s="20" t="n">
        <v>7</v>
      </c>
      <c r="AF11" s="19"/>
      <c r="AG11" s="18"/>
      <c r="AH11" s="20" t="n">
        <v>7</v>
      </c>
      <c r="AI11" s="19"/>
      <c r="AJ11" s="18"/>
      <c r="AK11" s="20" t="n">
        <v>7</v>
      </c>
      <c r="AL11" s="19"/>
      <c r="AM11" s="18"/>
      <c r="AN11" s="20" t="n">
        <v>7</v>
      </c>
      <c r="AO11" s="19"/>
      <c r="AP11" s="18"/>
      <c r="AQ11" s="20" t="n">
        <v>7</v>
      </c>
      <c r="AR11" s="19"/>
      <c r="AS11" s="18"/>
      <c r="AT11" s="20" t="n">
        <v>7</v>
      </c>
      <c r="AU11" s="19"/>
      <c r="AV11" s="18"/>
      <c r="AW11" s="20" t="n">
        <v>7</v>
      </c>
      <c r="AX11" s="19"/>
      <c r="AY11" s="18"/>
      <c r="AZ11" s="17" t="n">
        <v>7</v>
      </c>
      <c r="BA11" s="19"/>
      <c r="BB11" s="19"/>
    </row>
    <row r="12" customFormat="false" ht="12.75" hidden="false" customHeight="true" outlineLevel="0" collapsed="false">
      <c r="G12" s="17" t="n">
        <v>8</v>
      </c>
      <c r="H12" s="19"/>
      <c r="I12" s="19"/>
      <c r="J12" s="20" t="n">
        <v>8</v>
      </c>
      <c r="K12" s="19"/>
      <c r="L12" s="18"/>
      <c r="M12" s="20" t="n">
        <v>8</v>
      </c>
      <c r="N12" s="19"/>
      <c r="O12" s="18"/>
      <c r="P12" s="20" t="n">
        <v>8</v>
      </c>
      <c r="Q12" s="19"/>
      <c r="R12" s="18"/>
      <c r="S12" s="20" t="n">
        <v>8</v>
      </c>
      <c r="T12" s="19"/>
      <c r="U12" s="18"/>
      <c r="V12" s="20" t="n">
        <v>8</v>
      </c>
      <c r="W12" s="19"/>
      <c r="X12" s="18"/>
      <c r="Y12" s="20" t="n">
        <v>8</v>
      </c>
      <c r="Z12" s="19"/>
      <c r="AA12" s="18"/>
      <c r="AB12" s="20" t="n">
        <v>8</v>
      </c>
      <c r="AC12" s="19"/>
      <c r="AD12" s="18"/>
      <c r="AE12" s="20" t="n">
        <v>8</v>
      </c>
      <c r="AF12" s="19"/>
      <c r="AG12" s="18"/>
      <c r="AH12" s="20" t="n">
        <v>8</v>
      </c>
      <c r="AI12" s="19"/>
      <c r="AJ12" s="18"/>
      <c r="AK12" s="20" t="n">
        <v>8</v>
      </c>
      <c r="AL12" s="19"/>
      <c r="AM12" s="18"/>
      <c r="AN12" s="20" t="n">
        <v>8</v>
      </c>
      <c r="AO12" s="19"/>
      <c r="AP12" s="18"/>
      <c r="AQ12" s="20" t="n">
        <v>8</v>
      </c>
      <c r="AR12" s="19"/>
      <c r="AS12" s="18"/>
      <c r="AT12" s="20" t="n">
        <v>8</v>
      </c>
      <c r="AU12" s="19"/>
      <c r="AV12" s="18"/>
      <c r="AW12" s="20" t="n">
        <v>8</v>
      </c>
      <c r="AX12" s="19"/>
      <c r="AY12" s="18"/>
      <c r="AZ12" s="17" t="n">
        <v>8</v>
      </c>
      <c r="BA12" s="19"/>
      <c r="BB12" s="19"/>
    </row>
    <row r="13" s="19" customFormat="true" ht="12.75" hidden="false" customHeight="true" outlineLevel="0" collapsed="false">
      <c r="G13" s="17" t="n">
        <v>9</v>
      </c>
      <c r="J13" s="20" t="n">
        <v>9</v>
      </c>
      <c r="M13" s="20" t="n">
        <v>9</v>
      </c>
      <c r="P13" s="20" t="n">
        <v>9</v>
      </c>
      <c r="S13" s="20" t="n">
        <v>9</v>
      </c>
      <c r="V13" s="20" t="n">
        <v>9</v>
      </c>
      <c r="Y13" s="20" t="n">
        <v>9</v>
      </c>
      <c r="AB13" s="20" t="n">
        <v>9</v>
      </c>
      <c r="AE13" s="20" t="n">
        <v>9</v>
      </c>
      <c r="AH13" s="20" t="n">
        <v>9</v>
      </c>
      <c r="AK13" s="20" t="n">
        <v>9</v>
      </c>
      <c r="AN13" s="20" t="n">
        <v>9</v>
      </c>
      <c r="AQ13" s="20" t="n">
        <v>9</v>
      </c>
      <c r="AT13" s="20" t="n">
        <v>9</v>
      </c>
      <c r="AW13" s="20" t="n">
        <v>9</v>
      </c>
      <c r="AZ13" s="17" t="n">
        <v>9</v>
      </c>
    </row>
    <row r="14" customFormat="false" ht="12.75" hidden="false" customHeight="true" outlineLevel="0" collapsed="false">
      <c r="G14" s="20" t="n">
        <v>10</v>
      </c>
      <c r="H14" s="19"/>
      <c r="I14" s="19"/>
      <c r="J14" s="20" t="n">
        <v>10</v>
      </c>
      <c r="K14" s="19"/>
      <c r="L14" s="19"/>
      <c r="M14" s="20" t="n">
        <v>10</v>
      </c>
      <c r="N14" s="19"/>
      <c r="O14" s="19"/>
      <c r="P14" s="20" t="n">
        <v>10</v>
      </c>
      <c r="Q14" s="19"/>
      <c r="R14" s="19"/>
      <c r="S14" s="20" t="n">
        <v>10</v>
      </c>
      <c r="T14" s="19"/>
      <c r="U14" s="19"/>
      <c r="V14" s="20" t="n">
        <v>10</v>
      </c>
      <c r="W14" s="19"/>
      <c r="X14" s="19"/>
      <c r="Y14" s="20" t="n">
        <v>10</v>
      </c>
      <c r="Z14" s="19"/>
      <c r="AA14" s="19"/>
      <c r="AB14" s="20" t="n">
        <v>10</v>
      </c>
      <c r="AC14" s="19"/>
      <c r="AD14" s="19"/>
      <c r="AE14" s="20" t="n">
        <v>10</v>
      </c>
      <c r="AF14" s="19"/>
      <c r="AG14" s="19"/>
      <c r="AH14" s="20" t="n">
        <v>10</v>
      </c>
      <c r="AI14" s="19"/>
      <c r="AJ14" s="19"/>
      <c r="AK14" s="20" t="n">
        <v>10</v>
      </c>
      <c r="AL14" s="19"/>
      <c r="AM14" s="19"/>
      <c r="AN14" s="20" t="n">
        <v>10</v>
      </c>
      <c r="AO14" s="19"/>
      <c r="AP14" s="19"/>
      <c r="AQ14" s="20" t="n">
        <v>10</v>
      </c>
      <c r="AR14" s="19"/>
      <c r="AS14" s="19"/>
      <c r="AT14" s="20" t="n">
        <v>10</v>
      </c>
      <c r="AU14" s="19"/>
      <c r="AV14" s="19"/>
      <c r="AW14" s="20" t="n">
        <v>10</v>
      </c>
      <c r="AX14" s="19"/>
      <c r="AY14" s="19"/>
      <c r="AZ14" s="20" t="n">
        <v>10</v>
      </c>
      <c r="BA14" s="19"/>
      <c r="BB14" s="19"/>
    </row>
    <row r="15" customFormat="false" ht="12.75" hidden="false" customHeight="true" outlineLevel="0" collapsed="false">
      <c r="G15" s="20" t="n">
        <v>11</v>
      </c>
      <c r="H15" s="19"/>
      <c r="I15" s="19"/>
      <c r="J15" s="20" t="n">
        <v>11</v>
      </c>
      <c r="K15" s="19"/>
      <c r="L15" s="19"/>
      <c r="M15" s="20" t="n">
        <v>11</v>
      </c>
      <c r="N15" s="19"/>
      <c r="O15" s="19"/>
      <c r="P15" s="20" t="n">
        <v>11</v>
      </c>
      <c r="Q15" s="19"/>
      <c r="R15" s="19"/>
      <c r="S15" s="20" t="n">
        <v>11</v>
      </c>
      <c r="T15" s="19"/>
      <c r="U15" s="19"/>
      <c r="V15" s="20" t="n">
        <v>11</v>
      </c>
      <c r="W15" s="19"/>
      <c r="X15" s="19"/>
      <c r="Y15" s="20" t="n">
        <v>11</v>
      </c>
      <c r="Z15" s="19"/>
      <c r="AA15" s="19"/>
      <c r="AB15" s="20" t="n">
        <v>11</v>
      </c>
      <c r="AC15" s="19"/>
      <c r="AD15" s="19"/>
      <c r="AE15" s="20" t="n">
        <v>11</v>
      </c>
      <c r="AF15" s="19"/>
      <c r="AG15" s="19"/>
      <c r="AH15" s="20" t="n">
        <v>11</v>
      </c>
      <c r="AI15" s="19"/>
      <c r="AJ15" s="19"/>
      <c r="AK15" s="20" t="n">
        <v>11</v>
      </c>
      <c r="AL15" s="19"/>
      <c r="AM15" s="19"/>
      <c r="AN15" s="20" t="n">
        <v>11</v>
      </c>
      <c r="AO15" s="19"/>
      <c r="AP15" s="19"/>
      <c r="AQ15" s="20" t="n">
        <v>11</v>
      </c>
      <c r="AR15" s="19"/>
      <c r="AS15" s="19"/>
      <c r="AT15" s="20" t="n">
        <v>11</v>
      </c>
      <c r="AU15" s="19"/>
      <c r="AV15" s="19"/>
      <c r="AW15" s="20" t="n">
        <v>11</v>
      </c>
      <c r="AX15" s="19"/>
      <c r="AY15" s="19"/>
      <c r="AZ15" s="20" t="n">
        <v>11</v>
      </c>
      <c r="BA15" s="19"/>
      <c r="BB15" s="19"/>
    </row>
    <row r="16" s="19" customFormat="true" ht="12.75" hidden="false" customHeight="true" outlineLevel="0" collapsed="false">
      <c r="G16" s="20" t="n">
        <v>12</v>
      </c>
      <c r="J16" s="20" t="n">
        <v>12</v>
      </c>
      <c r="M16" s="20" t="n">
        <v>12</v>
      </c>
      <c r="P16" s="20" t="n">
        <v>12</v>
      </c>
      <c r="S16" s="20" t="n">
        <v>12</v>
      </c>
      <c r="V16" s="20" t="n">
        <v>12</v>
      </c>
      <c r="Y16" s="20" t="n">
        <v>12</v>
      </c>
      <c r="AB16" s="20" t="n">
        <v>12</v>
      </c>
      <c r="AE16" s="20" t="n">
        <v>12</v>
      </c>
      <c r="AH16" s="20" t="n">
        <v>12</v>
      </c>
      <c r="AK16" s="20" t="n">
        <v>12</v>
      </c>
      <c r="AN16" s="20" t="n">
        <v>12</v>
      </c>
      <c r="AQ16" s="20" t="n">
        <v>12</v>
      </c>
      <c r="AT16" s="20" t="n">
        <v>12</v>
      </c>
      <c r="AW16" s="20" t="n">
        <v>12</v>
      </c>
      <c r="AZ16" s="20" t="n">
        <v>12</v>
      </c>
    </row>
    <row r="17" customFormat="false" ht="12.75" hidden="false" customHeight="true" outlineLevel="0" collapsed="false">
      <c r="G17" s="20" t="n">
        <v>13</v>
      </c>
      <c r="H17" s="19"/>
      <c r="I17" s="19"/>
      <c r="J17" s="20" t="n">
        <v>13</v>
      </c>
      <c r="K17" s="19"/>
      <c r="L17" s="19"/>
      <c r="M17" s="20" t="n">
        <v>13</v>
      </c>
      <c r="N17" s="19"/>
      <c r="O17" s="19"/>
      <c r="P17" s="20" t="n">
        <v>13</v>
      </c>
      <c r="Q17" s="19"/>
      <c r="R17" s="19"/>
      <c r="S17" s="20" t="n">
        <v>13</v>
      </c>
      <c r="T17" s="19"/>
      <c r="U17" s="19"/>
      <c r="V17" s="20" t="n">
        <v>13</v>
      </c>
      <c r="W17" s="19"/>
      <c r="X17" s="19"/>
      <c r="Y17" s="20" t="n">
        <v>13</v>
      </c>
      <c r="Z17" s="19"/>
      <c r="AA17" s="19"/>
      <c r="AB17" s="20" t="n">
        <v>13</v>
      </c>
      <c r="AC17" s="19"/>
      <c r="AD17" s="19"/>
      <c r="AE17" s="20" t="n">
        <v>13</v>
      </c>
      <c r="AF17" s="19"/>
      <c r="AG17" s="19"/>
      <c r="AH17" s="20" t="n">
        <v>13</v>
      </c>
      <c r="AI17" s="19"/>
      <c r="AJ17" s="19"/>
      <c r="AK17" s="20" t="n">
        <v>13</v>
      </c>
      <c r="AL17" s="19"/>
      <c r="AM17" s="19"/>
      <c r="AN17" s="20" t="n">
        <v>13</v>
      </c>
      <c r="AO17" s="19"/>
      <c r="AP17" s="19"/>
      <c r="AQ17" s="20" t="n">
        <v>13</v>
      </c>
      <c r="AR17" s="19"/>
      <c r="AS17" s="19"/>
      <c r="AT17" s="20" t="n">
        <v>13</v>
      </c>
      <c r="AU17" s="19"/>
      <c r="AV17" s="19"/>
      <c r="AW17" s="20" t="n">
        <v>13</v>
      </c>
      <c r="AX17" s="19"/>
      <c r="AY17" s="19"/>
      <c r="AZ17" s="20" t="n">
        <v>13</v>
      </c>
      <c r="BA17" s="19"/>
      <c r="BB17" s="19"/>
    </row>
    <row r="18" s="19" customFormat="true" ht="12.75" hidden="false" customHeight="true" outlineLevel="0" collapsed="false">
      <c r="G18" s="20" t="n">
        <v>14</v>
      </c>
      <c r="J18" s="20" t="n">
        <v>14</v>
      </c>
      <c r="M18" s="20" t="n">
        <v>14</v>
      </c>
      <c r="P18" s="20" t="n">
        <v>14</v>
      </c>
      <c r="S18" s="20" t="n">
        <v>14</v>
      </c>
      <c r="V18" s="20" t="n">
        <v>14</v>
      </c>
      <c r="Y18" s="20" t="n">
        <v>14</v>
      </c>
      <c r="AB18" s="20" t="n">
        <v>14</v>
      </c>
      <c r="AE18" s="20" t="n">
        <v>14</v>
      </c>
      <c r="AH18" s="20" t="n">
        <v>14</v>
      </c>
      <c r="AK18" s="20" t="n">
        <v>14</v>
      </c>
      <c r="AN18" s="20" t="n">
        <v>14</v>
      </c>
      <c r="AQ18" s="20" t="n">
        <v>14</v>
      </c>
      <c r="AT18" s="20" t="n">
        <v>14</v>
      </c>
      <c r="AW18" s="20" t="n">
        <v>14</v>
      </c>
      <c r="AZ18" s="20" t="n">
        <v>14</v>
      </c>
    </row>
    <row r="19" customFormat="false" ht="12.75" hidden="false" customHeight="true" outlineLevel="0" collapsed="false">
      <c r="G19" s="20" t="n">
        <v>15</v>
      </c>
      <c r="H19" s="19"/>
      <c r="I19" s="19"/>
      <c r="J19" s="20" t="n">
        <v>15</v>
      </c>
      <c r="K19" s="19"/>
      <c r="L19" s="19"/>
      <c r="M19" s="20" t="n">
        <v>15</v>
      </c>
      <c r="N19" s="19"/>
      <c r="O19" s="19"/>
      <c r="P19" s="20" t="n">
        <v>15</v>
      </c>
      <c r="Q19" s="19"/>
      <c r="R19" s="19"/>
      <c r="S19" s="20" t="n">
        <v>15</v>
      </c>
      <c r="T19" s="19"/>
      <c r="U19" s="19"/>
      <c r="V19" s="20" t="n">
        <v>15</v>
      </c>
      <c r="W19" s="19"/>
      <c r="X19" s="19"/>
      <c r="Y19" s="20" t="n">
        <v>15</v>
      </c>
      <c r="Z19" s="19"/>
      <c r="AA19" s="19"/>
      <c r="AB19" s="20" t="n">
        <v>15</v>
      </c>
      <c r="AC19" s="19"/>
      <c r="AD19" s="19"/>
      <c r="AE19" s="20" t="n">
        <v>15</v>
      </c>
      <c r="AF19" s="19"/>
      <c r="AG19" s="19"/>
      <c r="AH19" s="20" t="n">
        <v>15</v>
      </c>
      <c r="AI19" s="19"/>
      <c r="AJ19" s="19"/>
      <c r="AK19" s="20" t="n">
        <v>15</v>
      </c>
      <c r="AL19" s="19"/>
      <c r="AM19" s="19"/>
      <c r="AN19" s="20" t="n">
        <v>15</v>
      </c>
      <c r="AO19" s="19"/>
      <c r="AP19" s="19"/>
      <c r="AQ19" s="20" t="n">
        <v>15</v>
      </c>
      <c r="AR19" s="19"/>
      <c r="AS19" s="19"/>
      <c r="AT19" s="20" t="n">
        <v>15</v>
      </c>
      <c r="AU19" s="19"/>
      <c r="AV19" s="19"/>
      <c r="AW19" s="20" t="n">
        <v>15</v>
      </c>
      <c r="AX19" s="19"/>
      <c r="AY19" s="19"/>
      <c r="AZ19" s="20" t="n">
        <v>15</v>
      </c>
      <c r="BA19" s="19"/>
      <c r="BB19" s="19"/>
    </row>
    <row r="20" s="19" customFormat="true" ht="12.75" hidden="false" customHeight="true" outlineLevel="0" collapsed="false">
      <c r="G20" s="20" t="n">
        <v>16</v>
      </c>
      <c r="J20" s="20" t="n">
        <v>16</v>
      </c>
      <c r="M20" s="20" t="n">
        <v>16</v>
      </c>
      <c r="P20" s="20" t="n">
        <v>16</v>
      </c>
      <c r="S20" s="20" t="n">
        <v>16</v>
      </c>
      <c r="V20" s="20" t="n">
        <v>16</v>
      </c>
      <c r="Y20" s="20" t="n">
        <v>16</v>
      </c>
      <c r="AB20" s="20" t="n">
        <v>16</v>
      </c>
      <c r="AE20" s="20" t="n">
        <v>16</v>
      </c>
      <c r="AH20" s="20" t="n">
        <v>16</v>
      </c>
      <c r="AK20" s="20" t="n">
        <v>16</v>
      </c>
      <c r="AN20" s="20" t="n">
        <v>16</v>
      </c>
      <c r="AQ20" s="20" t="n">
        <v>16</v>
      </c>
      <c r="AT20" s="20" t="n">
        <v>16</v>
      </c>
      <c r="AW20" s="20" t="n">
        <v>16</v>
      </c>
      <c r="AZ20" s="20" t="n">
        <v>16</v>
      </c>
    </row>
    <row r="21" customFormat="false" ht="12.75" hidden="false" customHeight="true" outlineLevel="0" collapsed="false">
      <c r="G21" s="20" t="n">
        <v>17</v>
      </c>
      <c r="H21" s="19"/>
      <c r="I21" s="19"/>
      <c r="J21" s="20" t="n">
        <v>17</v>
      </c>
      <c r="K21" s="19"/>
      <c r="L21" s="19"/>
      <c r="M21" s="20" t="n">
        <v>17</v>
      </c>
      <c r="N21" s="19"/>
      <c r="O21" s="19"/>
      <c r="P21" s="20" t="n">
        <v>17</v>
      </c>
      <c r="Q21" s="19"/>
      <c r="R21" s="19"/>
      <c r="S21" s="20" t="n">
        <v>17</v>
      </c>
      <c r="T21" s="19"/>
      <c r="U21" s="19"/>
      <c r="V21" s="20" t="n">
        <v>17</v>
      </c>
      <c r="W21" s="19"/>
      <c r="X21" s="19"/>
      <c r="Y21" s="20" t="n">
        <v>17</v>
      </c>
      <c r="Z21" s="19"/>
      <c r="AA21" s="19"/>
      <c r="AB21" s="20" t="n">
        <v>17</v>
      </c>
      <c r="AC21" s="19"/>
      <c r="AD21" s="19"/>
      <c r="AE21" s="20" t="n">
        <v>17</v>
      </c>
      <c r="AF21" s="19"/>
      <c r="AG21" s="19"/>
      <c r="AH21" s="20" t="n">
        <v>17</v>
      </c>
      <c r="AI21" s="19"/>
      <c r="AJ21" s="19"/>
      <c r="AK21" s="20" t="n">
        <v>17</v>
      </c>
      <c r="AL21" s="19"/>
      <c r="AM21" s="19"/>
      <c r="AN21" s="20" t="n">
        <v>17</v>
      </c>
      <c r="AO21" s="19"/>
      <c r="AP21" s="19"/>
      <c r="AQ21" s="20" t="n">
        <v>17</v>
      </c>
      <c r="AR21" s="19"/>
      <c r="AS21" s="19"/>
      <c r="AT21" s="20" t="n">
        <v>17</v>
      </c>
      <c r="AU21" s="19"/>
      <c r="AV21" s="19"/>
      <c r="AW21" s="20" t="n">
        <v>17</v>
      </c>
      <c r="AX21" s="19"/>
      <c r="AY21" s="19"/>
      <c r="AZ21" s="20" t="n">
        <v>17</v>
      </c>
      <c r="BA21" s="19"/>
      <c r="BB21" s="19"/>
    </row>
    <row r="22" s="19" customFormat="true" ht="12.75" hidden="false" customHeight="true" outlineLevel="0" collapsed="false">
      <c r="G22" s="20" t="n">
        <v>18</v>
      </c>
      <c r="J22" s="20" t="n">
        <v>18</v>
      </c>
      <c r="M22" s="20" t="n">
        <v>18</v>
      </c>
      <c r="P22" s="20" t="n">
        <v>18</v>
      </c>
      <c r="S22" s="20" t="n">
        <v>18</v>
      </c>
      <c r="V22" s="20" t="n">
        <v>18</v>
      </c>
      <c r="Y22" s="20" t="n">
        <v>18</v>
      </c>
      <c r="AB22" s="20" t="n">
        <v>18</v>
      </c>
      <c r="AE22" s="20" t="n">
        <v>18</v>
      </c>
      <c r="AH22" s="20" t="n">
        <v>18</v>
      </c>
      <c r="AK22" s="20" t="n">
        <v>18</v>
      </c>
      <c r="AN22" s="20" t="n">
        <v>18</v>
      </c>
      <c r="AQ22" s="20" t="n">
        <v>18</v>
      </c>
      <c r="AT22" s="20" t="n">
        <v>18</v>
      </c>
      <c r="AW22" s="20" t="n">
        <v>18</v>
      </c>
      <c r="AZ22" s="20" t="n">
        <v>18</v>
      </c>
    </row>
    <row r="23" customFormat="false" ht="12.75" hidden="false" customHeight="true" outlineLevel="0" collapsed="false">
      <c r="G23" s="20" t="n">
        <v>19</v>
      </c>
      <c r="H23" s="19"/>
      <c r="I23" s="19"/>
      <c r="J23" s="20" t="n">
        <v>19</v>
      </c>
      <c r="K23" s="19"/>
      <c r="L23" s="19"/>
      <c r="M23" s="20" t="n">
        <v>19</v>
      </c>
      <c r="N23" s="19"/>
      <c r="O23" s="19"/>
      <c r="P23" s="20" t="n">
        <v>19</v>
      </c>
      <c r="Q23" s="19"/>
      <c r="R23" s="19"/>
      <c r="S23" s="20" t="n">
        <v>19</v>
      </c>
      <c r="T23" s="19"/>
      <c r="U23" s="19"/>
      <c r="V23" s="20" t="n">
        <v>19</v>
      </c>
      <c r="W23" s="19"/>
      <c r="X23" s="19"/>
      <c r="Y23" s="20" t="n">
        <v>19</v>
      </c>
      <c r="Z23" s="19"/>
      <c r="AA23" s="19"/>
      <c r="AB23" s="20" t="n">
        <v>19</v>
      </c>
      <c r="AC23" s="19"/>
      <c r="AD23" s="19"/>
      <c r="AE23" s="20" t="n">
        <v>19</v>
      </c>
      <c r="AF23" s="19"/>
      <c r="AG23" s="19"/>
      <c r="AH23" s="20" t="n">
        <v>19</v>
      </c>
      <c r="AI23" s="19"/>
      <c r="AJ23" s="19"/>
      <c r="AK23" s="20" t="n">
        <v>19</v>
      </c>
      <c r="AL23" s="19"/>
      <c r="AM23" s="19"/>
      <c r="AN23" s="20" t="n">
        <v>19</v>
      </c>
      <c r="AO23" s="19"/>
      <c r="AP23" s="19"/>
      <c r="AQ23" s="20" t="n">
        <v>19</v>
      </c>
      <c r="AR23" s="19"/>
      <c r="AS23" s="19"/>
      <c r="AT23" s="20" t="n">
        <v>19</v>
      </c>
      <c r="AU23" s="19"/>
      <c r="AV23" s="19"/>
      <c r="AW23" s="20" t="n">
        <v>19</v>
      </c>
      <c r="AX23" s="19"/>
      <c r="AY23" s="19"/>
      <c r="AZ23" s="20" t="n">
        <v>19</v>
      </c>
      <c r="BA23" s="19"/>
      <c r="BB23" s="19"/>
    </row>
    <row r="24" customFormat="false" ht="12.75" hidden="false" customHeight="true" outlineLevel="0" collapsed="false">
      <c r="G24" s="20" t="n">
        <v>20</v>
      </c>
      <c r="H24" s="19"/>
      <c r="I24" s="19"/>
      <c r="J24" s="20" t="n">
        <v>20</v>
      </c>
      <c r="K24" s="19"/>
      <c r="L24" s="19"/>
      <c r="M24" s="20" t="n">
        <v>20</v>
      </c>
      <c r="N24" s="19"/>
      <c r="O24" s="19"/>
      <c r="P24" s="20" t="n">
        <v>20</v>
      </c>
      <c r="Q24" s="19"/>
      <c r="R24" s="19"/>
      <c r="S24" s="20" t="n">
        <v>20</v>
      </c>
      <c r="T24" s="19"/>
      <c r="U24" s="19"/>
      <c r="V24" s="20" t="n">
        <v>20</v>
      </c>
      <c r="W24" s="19"/>
      <c r="X24" s="19"/>
      <c r="Y24" s="20" t="n">
        <v>20</v>
      </c>
      <c r="Z24" s="19"/>
      <c r="AA24" s="19"/>
      <c r="AB24" s="20" t="n">
        <v>20</v>
      </c>
      <c r="AC24" s="19"/>
      <c r="AD24" s="19"/>
      <c r="AE24" s="20" t="n">
        <v>20</v>
      </c>
      <c r="AF24" s="19"/>
      <c r="AG24" s="19"/>
      <c r="AH24" s="20" t="n">
        <v>20</v>
      </c>
      <c r="AI24" s="19"/>
      <c r="AJ24" s="19"/>
      <c r="AK24" s="20" t="n">
        <v>20</v>
      </c>
      <c r="AL24" s="19"/>
      <c r="AM24" s="19"/>
      <c r="AN24" s="20" t="n">
        <v>20</v>
      </c>
      <c r="AO24" s="19"/>
      <c r="AP24" s="19"/>
      <c r="AQ24" s="20" t="n">
        <v>20</v>
      </c>
      <c r="AR24" s="19"/>
      <c r="AS24" s="19"/>
      <c r="AT24" s="20" t="n">
        <v>20</v>
      </c>
      <c r="AU24" s="19"/>
      <c r="AV24" s="19"/>
      <c r="AW24" s="20" t="n">
        <v>20</v>
      </c>
      <c r="AX24" s="19"/>
      <c r="AY24" s="19"/>
      <c r="AZ24" s="20" t="n">
        <v>20</v>
      </c>
      <c r="BA24" s="19"/>
      <c r="BB24" s="19"/>
    </row>
    <row r="25" customFormat="false" ht="12.75" hidden="false" customHeight="true" outlineLevel="0" collapsed="false">
      <c r="G25" s="20" t="n">
        <v>21</v>
      </c>
      <c r="H25" s="19"/>
      <c r="I25" s="19"/>
      <c r="J25" s="20" t="n">
        <v>21</v>
      </c>
      <c r="K25" s="19"/>
      <c r="L25" s="19"/>
      <c r="M25" s="20" t="n">
        <v>21</v>
      </c>
      <c r="N25" s="19"/>
      <c r="O25" s="19"/>
      <c r="P25" s="20" t="n">
        <v>21</v>
      </c>
      <c r="Q25" s="19"/>
      <c r="R25" s="19"/>
      <c r="S25" s="20" t="n">
        <v>21</v>
      </c>
      <c r="T25" s="19"/>
      <c r="U25" s="19"/>
      <c r="V25" s="20" t="n">
        <v>21</v>
      </c>
      <c r="W25" s="19"/>
      <c r="X25" s="19"/>
      <c r="Y25" s="20" t="n">
        <v>21</v>
      </c>
      <c r="Z25" s="19"/>
      <c r="AA25" s="19"/>
      <c r="AB25" s="20" t="n">
        <v>21</v>
      </c>
      <c r="AC25" s="19"/>
      <c r="AD25" s="19"/>
      <c r="AE25" s="20" t="n">
        <v>21</v>
      </c>
      <c r="AF25" s="19"/>
      <c r="AG25" s="19"/>
      <c r="AH25" s="20" t="n">
        <v>21</v>
      </c>
      <c r="AI25" s="19"/>
      <c r="AJ25" s="19"/>
      <c r="AK25" s="20" t="n">
        <v>21</v>
      </c>
      <c r="AL25" s="19"/>
      <c r="AM25" s="19"/>
      <c r="AN25" s="20" t="n">
        <v>21</v>
      </c>
      <c r="AO25" s="19"/>
      <c r="AP25" s="19"/>
      <c r="AQ25" s="20" t="n">
        <v>21</v>
      </c>
      <c r="AR25" s="19"/>
      <c r="AS25" s="19"/>
      <c r="AT25" s="20" t="n">
        <v>21</v>
      </c>
      <c r="AU25" s="19"/>
      <c r="AV25" s="19"/>
      <c r="AW25" s="20" t="n">
        <v>21</v>
      </c>
      <c r="AX25" s="19"/>
      <c r="AY25" s="19"/>
      <c r="AZ25" s="20" t="n">
        <v>21</v>
      </c>
      <c r="BA25" s="19"/>
      <c r="BB25" s="19"/>
    </row>
    <row r="26" customFormat="false" ht="12.75" hidden="false" customHeight="true" outlineLevel="0" collapsed="false">
      <c r="G26" s="9" t="n">
        <v>1</v>
      </c>
      <c r="J26" s="9" t="n">
        <v>2</v>
      </c>
      <c r="M26" s="9" t="n">
        <v>3</v>
      </c>
      <c r="P26" s="9" t="n">
        <v>4</v>
      </c>
      <c r="S26" s="9" t="n">
        <v>5</v>
      </c>
      <c r="V26" s="9" t="n">
        <v>6</v>
      </c>
      <c r="Y26" s="9" t="n">
        <v>7</v>
      </c>
      <c r="AB26" s="9" t="n">
        <v>8</v>
      </c>
      <c r="AE26" s="9" t="n">
        <v>9</v>
      </c>
      <c r="AH26" s="9" t="n">
        <v>10</v>
      </c>
      <c r="AK26" s="9" t="n">
        <v>11</v>
      </c>
      <c r="AN26" s="9" t="n">
        <v>12</v>
      </c>
      <c r="AQ26" s="9" t="n">
        <v>13</v>
      </c>
      <c r="AT26" s="9" t="n">
        <v>14</v>
      </c>
      <c r="AW26" s="9" t="n">
        <v>15</v>
      </c>
      <c r="AZ26" s="9" t="n">
        <v>16</v>
      </c>
    </row>
    <row r="27" customFormat="false" ht="9" hidden="false" customHeight="true" outlineLevel="0" collapsed="false"/>
    <row r="28" customFormat="false" ht="11.25" hidden="false" customHeight="true" outlineLevel="0" collapsed="false">
      <c r="B28" s="10"/>
      <c r="C28" s="3" t="s">
        <v>92</v>
      </c>
      <c r="D28" s="10"/>
      <c r="E28" s="10"/>
      <c r="G28" s="5" t="n">
        <v>0</v>
      </c>
      <c r="H28" s="5"/>
      <c r="I28" s="19"/>
      <c r="J28" s="5" t="n">
        <v>6</v>
      </c>
      <c r="K28" s="5"/>
      <c r="L28" s="19"/>
      <c r="M28" s="5" t="n">
        <v>38</v>
      </c>
      <c r="N28" s="5"/>
      <c r="O28" s="19"/>
      <c r="P28" s="5" t="n">
        <v>602</v>
      </c>
      <c r="Q28" s="5"/>
      <c r="R28" s="19"/>
      <c r="S28" s="5" t="n">
        <v>634</v>
      </c>
      <c r="T28" s="5"/>
      <c r="U28" s="19"/>
      <c r="V28" s="5"/>
      <c r="W28" s="5"/>
      <c r="X28" s="19"/>
      <c r="Y28" s="5"/>
      <c r="Z28" s="5"/>
      <c r="AA28" s="22"/>
      <c r="AB28" s="5"/>
      <c r="AC28" s="5"/>
      <c r="AD28" s="19"/>
      <c r="AE28" s="5"/>
      <c r="AF28" s="5"/>
      <c r="AG28" s="19"/>
      <c r="AH28" s="5"/>
      <c r="AI28" s="5"/>
      <c r="AJ28" s="19"/>
      <c r="AK28" s="5"/>
      <c r="AL28" s="5"/>
      <c r="AM28" s="19"/>
      <c r="AN28" s="5"/>
      <c r="AO28" s="5"/>
      <c r="AP28" s="19"/>
      <c r="AQ28" s="5"/>
      <c r="AR28" s="5"/>
      <c r="AS28" s="19"/>
      <c r="AT28" s="5"/>
      <c r="AU28" s="5"/>
      <c r="AV28" s="19"/>
      <c r="AW28" s="5"/>
      <c r="AX28" s="5"/>
      <c r="AY28" s="19"/>
      <c r="AZ28" s="5"/>
      <c r="BA28" s="5"/>
    </row>
    <row r="29" s="10" customFormat="true" ht="5.25" hidden="false" customHeight="true" outlineLevel="0" collapsed="false">
      <c r="B29" s="0"/>
      <c r="C29" s="3"/>
      <c r="D29" s="0"/>
      <c r="E29" s="0"/>
      <c r="G29" s="19"/>
      <c r="H29" s="19"/>
      <c r="I29" s="23"/>
      <c r="J29" s="19"/>
      <c r="K29" s="19"/>
      <c r="L29" s="23"/>
      <c r="M29" s="19"/>
      <c r="N29" s="19"/>
      <c r="O29" s="23"/>
      <c r="P29" s="19"/>
      <c r="Q29" s="19"/>
      <c r="R29" s="23"/>
      <c r="S29" s="19"/>
      <c r="T29" s="19"/>
      <c r="U29" s="19"/>
      <c r="V29" s="19"/>
      <c r="W29" s="23"/>
      <c r="X29" s="23"/>
      <c r="Y29" s="19"/>
      <c r="Z29" s="19"/>
      <c r="AA29" s="19"/>
      <c r="AB29" s="19"/>
      <c r="AC29" s="19"/>
      <c r="AD29" s="23"/>
      <c r="AE29" s="19"/>
      <c r="AF29" s="19"/>
      <c r="AG29" s="23"/>
      <c r="AH29" s="19"/>
      <c r="AI29" s="19"/>
      <c r="AJ29" s="23"/>
      <c r="AK29" s="19"/>
      <c r="AL29" s="19"/>
      <c r="AM29" s="18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</row>
    <row r="30" customFormat="false" ht="11.25" hidden="false" customHeight="true" outlineLevel="0" collapsed="false">
      <c r="C30" s="3" t="s">
        <v>93</v>
      </c>
      <c r="G30" s="5" t="n">
        <v>10</v>
      </c>
      <c r="H30" s="5"/>
      <c r="I30" s="22"/>
      <c r="J30" s="5"/>
      <c r="K30" s="5"/>
      <c r="L30" s="23"/>
      <c r="M30" s="5"/>
      <c r="N30" s="5"/>
      <c r="O30" s="23"/>
      <c r="P30" s="5"/>
      <c r="Q30" s="5"/>
      <c r="R30" s="23"/>
      <c r="S30" s="5"/>
      <c r="T30" s="5"/>
      <c r="U30" s="19"/>
      <c r="V30" s="5"/>
      <c r="W30" s="5"/>
      <c r="X30" s="22"/>
      <c r="Y30" s="5"/>
      <c r="Z30" s="5"/>
      <c r="AA30" s="22"/>
      <c r="AB30" s="5"/>
      <c r="AC30" s="5"/>
      <c r="AD30" s="23"/>
      <c r="AE30" s="5"/>
      <c r="AF30" s="5"/>
      <c r="AG30" s="22"/>
      <c r="AH30" s="5"/>
      <c r="AI30" s="5"/>
      <c r="AJ30" s="22"/>
      <c r="AK30" s="5"/>
      <c r="AL30" s="5"/>
      <c r="AM30" s="18"/>
      <c r="AN30" s="5"/>
      <c r="AO30" s="5"/>
      <c r="AP30" s="19"/>
      <c r="AQ30" s="5"/>
      <c r="AR30" s="5"/>
      <c r="AS30" s="19"/>
      <c r="AT30" s="5"/>
      <c r="AU30" s="5"/>
      <c r="AV30" s="19"/>
      <c r="AW30" s="5"/>
      <c r="AX30" s="5"/>
      <c r="AY30" s="19"/>
      <c r="AZ30" s="5"/>
      <c r="BA30" s="5"/>
    </row>
    <row r="31" customFormat="false" ht="11.25" hidden="false" customHeight="true" outlineLevel="0" collapsed="false">
      <c r="C31" s="3" t="s">
        <v>94</v>
      </c>
      <c r="G31" s="5" t="n">
        <v>-10</v>
      </c>
      <c r="H31" s="5"/>
      <c r="I31" s="23"/>
      <c r="J31" s="5"/>
      <c r="K31" s="5"/>
      <c r="L31" s="23"/>
      <c r="M31" s="5"/>
      <c r="N31" s="5"/>
      <c r="O31" s="23"/>
      <c r="P31" s="5"/>
      <c r="Q31" s="5"/>
      <c r="R31" s="23"/>
      <c r="S31" s="5"/>
      <c r="T31" s="5"/>
      <c r="U31" s="19"/>
      <c r="V31" s="5"/>
      <c r="W31" s="5"/>
      <c r="X31" s="23"/>
      <c r="Y31" s="5"/>
      <c r="Z31" s="5"/>
      <c r="AA31" s="22"/>
      <c r="AB31" s="5"/>
      <c r="AC31" s="5"/>
      <c r="AD31" s="23"/>
      <c r="AE31" s="5"/>
      <c r="AF31" s="5"/>
      <c r="AG31" s="23"/>
      <c r="AH31" s="5"/>
      <c r="AI31" s="5"/>
      <c r="AJ31" s="23"/>
      <c r="AK31" s="5"/>
      <c r="AL31" s="5"/>
      <c r="AM31" s="18"/>
      <c r="AN31" s="5"/>
      <c r="AO31" s="5"/>
      <c r="AP31" s="19"/>
      <c r="AQ31" s="5"/>
      <c r="AR31" s="5"/>
      <c r="AS31" s="19"/>
      <c r="AT31" s="5"/>
      <c r="AU31" s="5"/>
      <c r="AV31" s="19"/>
      <c r="AW31" s="5"/>
      <c r="AX31" s="5"/>
      <c r="AY31" s="19"/>
      <c r="AZ31" s="5" t="s">
        <v>95</v>
      </c>
      <c r="BA31" s="5"/>
    </row>
    <row r="32" customFormat="false" ht="5.25" hidden="false" customHeight="true" outlineLevel="0" collapsed="false">
      <c r="C32" s="3"/>
      <c r="G32" s="19"/>
      <c r="H32" s="19"/>
      <c r="I32" s="23"/>
      <c r="J32" s="19"/>
      <c r="K32" s="19"/>
      <c r="L32" s="23"/>
      <c r="M32" s="19"/>
      <c r="N32" s="19"/>
      <c r="O32" s="23"/>
      <c r="P32" s="19"/>
      <c r="Q32" s="19"/>
      <c r="R32" s="23"/>
      <c r="S32" s="19"/>
      <c r="T32" s="19"/>
      <c r="U32" s="19"/>
      <c r="V32" s="19"/>
      <c r="W32" s="23"/>
      <c r="X32" s="23"/>
      <c r="Y32" s="19"/>
      <c r="Z32" s="19"/>
      <c r="AA32" s="19"/>
      <c r="AB32" s="19"/>
      <c r="AC32" s="19"/>
      <c r="AD32" s="23"/>
      <c r="AE32" s="19"/>
      <c r="AF32" s="19"/>
      <c r="AG32" s="23"/>
      <c r="AH32" s="19"/>
      <c r="AI32" s="19"/>
      <c r="AJ32" s="23"/>
      <c r="AK32" s="19"/>
      <c r="AL32" s="19"/>
      <c r="AM32" s="18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</row>
    <row r="33" customFormat="false" ht="11.25" hidden="false" customHeight="true" outlineLevel="0" collapsed="false">
      <c r="C33" s="3" t="s">
        <v>96</v>
      </c>
      <c r="G33" s="5"/>
      <c r="H33" s="5"/>
      <c r="I33" s="18"/>
      <c r="J33" s="5"/>
      <c r="K33" s="5"/>
      <c r="L33" s="18"/>
      <c r="M33" s="5"/>
      <c r="N33" s="5"/>
      <c r="O33" s="18"/>
      <c r="P33" s="5"/>
      <c r="Q33" s="5"/>
      <c r="R33" s="18"/>
      <c r="S33" s="5"/>
      <c r="T33" s="5"/>
      <c r="U33" s="19"/>
      <c r="V33" s="5"/>
      <c r="W33" s="5"/>
      <c r="X33" s="18"/>
      <c r="Y33" s="5"/>
      <c r="Z33" s="5"/>
      <c r="AA33" s="22"/>
      <c r="AB33" s="5"/>
      <c r="AC33" s="5"/>
      <c r="AD33" s="18"/>
      <c r="AE33" s="5"/>
      <c r="AF33" s="5"/>
      <c r="AG33" s="18"/>
      <c r="AH33" s="5"/>
      <c r="AI33" s="5"/>
      <c r="AJ33" s="18"/>
      <c r="AK33" s="5"/>
      <c r="AL33" s="5"/>
      <c r="AM33" s="18"/>
      <c r="AN33" s="5"/>
      <c r="AO33" s="5"/>
      <c r="AP33" s="19"/>
      <c r="AQ33" s="5"/>
      <c r="AR33" s="5"/>
      <c r="AS33" s="19"/>
      <c r="AT33" s="5"/>
      <c r="AU33" s="5"/>
      <c r="AV33" s="19"/>
      <c r="AW33" s="5"/>
      <c r="AX33" s="5"/>
      <c r="AY33" s="19"/>
      <c r="AZ33" s="5"/>
      <c r="BA33" s="5"/>
    </row>
  </sheetData>
  <mergeCells count="68">
    <mergeCell ref="D3:E3"/>
    <mergeCell ref="D4:E4"/>
    <mergeCell ref="D5:E5"/>
    <mergeCell ref="D6:E6"/>
    <mergeCell ref="G28:H28"/>
    <mergeCell ref="J28:K28"/>
    <mergeCell ref="M28:N28"/>
    <mergeCell ref="P28:Q28"/>
    <mergeCell ref="S28:T28"/>
    <mergeCell ref="V28:W28"/>
    <mergeCell ref="Y28:Z28"/>
    <mergeCell ref="AB28:AC28"/>
    <mergeCell ref="AE28:AF28"/>
    <mergeCell ref="AH28:AI28"/>
    <mergeCell ref="AK28:AL28"/>
    <mergeCell ref="AN28:AO28"/>
    <mergeCell ref="AQ28:AR28"/>
    <mergeCell ref="AT28:AU28"/>
    <mergeCell ref="AW28:AX28"/>
    <mergeCell ref="AZ28:BA28"/>
    <mergeCell ref="G30:H30"/>
    <mergeCell ref="J30:K30"/>
    <mergeCell ref="M30:N30"/>
    <mergeCell ref="P30:Q30"/>
    <mergeCell ref="S30:T30"/>
    <mergeCell ref="V30:W30"/>
    <mergeCell ref="Y30:Z30"/>
    <mergeCell ref="AB30:AC30"/>
    <mergeCell ref="AE30:AF30"/>
    <mergeCell ref="AH30:AI30"/>
    <mergeCell ref="AK30:AL30"/>
    <mergeCell ref="AN30:AO30"/>
    <mergeCell ref="AQ30:AR30"/>
    <mergeCell ref="AT30:AU30"/>
    <mergeCell ref="AW30:AX30"/>
    <mergeCell ref="AZ30:BA30"/>
    <mergeCell ref="G31:H31"/>
    <mergeCell ref="J31:K31"/>
    <mergeCell ref="M31:N31"/>
    <mergeCell ref="P31:Q31"/>
    <mergeCell ref="S31:T31"/>
    <mergeCell ref="V31:W31"/>
    <mergeCell ref="Y31:Z31"/>
    <mergeCell ref="AB31:AC31"/>
    <mergeCell ref="AE31:AF31"/>
    <mergeCell ref="AH31:AI31"/>
    <mergeCell ref="AK31:AL31"/>
    <mergeCell ref="AN31:AO31"/>
    <mergeCell ref="AQ31:AR31"/>
    <mergeCell ref="AT31:AU31"/>
    <mergeCell ref="AW31:AX31"/>
    <mergeCell ref="AZ31:BA31"/>
    <mergeCell ref="G33:H33"/>
    <mergeCell ref="J33:K33"/>
    <mergeCell ref="M33:N33"/>
    <mergeCell ref="P33:Q33"/>
    <mergeCell ref="S33:T33"/>
    <mergeCell ref="V33:W33"/>
    <mergeCell ref="Y33:Z33"/>
    <mergeCell ref="AB33:AC33"/>
    <mergeCell ref="AE33:AF33"/>
    <mergeCell ref="AH33:AI33"/>
    <mergeCell ref="AK33:AL33"/>
    <mergeCell ref="AN33:AO33"/>
    <mergeCell ref="AQ33:AR33"/>
    <mergeCell ref="AT33:AU33"/>
    <mergeCell ref="AW33:AX33"/>
    <mergeCell ref="AZ33:BA33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26" activeCellId="0" sqref="J26"/>
    </sheetView>
  </sheetViews>
  <sheetFormatPr defaultRowHeight="12.75" zeroHeight="false" outlineLevelRow="0" outlineLevelCol="0"/>
  <sheetData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28" activeCellId="0" sqref="J28"/>
    </sheetView>
  </sheetViews>
  <sheetFormatPr defaultRowHeight="12.75" zeroHeight="false" outlineLevelRow="0" outlineLevelCol="0"/>
  <sheetData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P17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I10" activeCellId="0" sqref="I10"/>
    </sheetView>
  </sheetViews>
  <sheetFormatPr defaultRowHeight="12.75" zeroHeight="false" outlineLevelRow="0" outlineLevelCol="0"/>
  <cols>
    <col collapsed="false" customWidth="true" hidden="false" outlineLevel="0" max="1025" min="1023" style="0" width="8.67"/>
  </cols>
  <sheetData>
    <row r="1" customFormat="false" ht="12.75" hidden="false" customHeight="false" outlineLevel="0" collapsed="false">
      <c r="A1" s="0" t="s">
        <v>1</v>
      </c>
      <c r="B1" s="0" t="str">
        <f aca="false">'Leitura .bpp --&gt; .csv'!G2</f>
        <v>CRN</v>
      </c>
      <c r="C1" s="0" t="s">
        <v>3</v>
      </c>
      <c r="D1" s="0" t="s">
        <v>4</v>
      </c>
      <c r="E1" s="0" t="s">
        <v>6</v>
      </c>
      <c r="F1" s="0" t="s">
        <v>7</v>
      </c>
      <c r="G1" s="0" t="s">
        <v>5</v>
      </c>
      <c r="H1" s="0" t="s">
        <v>97</v>
      </c>
      <c r="M1" s="0" t="s">
        <v>98</v>
      </c>
      <c r="N1" s="0" t="s">
        <v>99</v>
      </c>
    </row>
    <row r="2" customFormat="false" ht="12.75" hidden="false" customHeight="false" outlineLevel="0" collapsed="false">
      <c r="A2" s="0" t="str">
        <f aca="false">IF('Leitura .bpp --&gt; .csv'!F46="","",'Leitura .bpp --&gt; .csv'!F46)</f>
        <v/>
      </c>
      <c r="B2" s="0" t="str">
        <f aca="false">IF('Leitura .bpp --&gt; .csv'!G46="","",'Leitura .bpp --&gt; .csv'!G46)</f>
        <v/>
      </c>
      <c r="C2" s="0" t="str">
        <f aca="false">IF('Leitura .bpp --&gt; .csv'!H46="","",'Leitura .bpp --&gt; .csv'!H46)</f>
        <v/>
      </c>
      <c r="D2" s="0" t="str">
        <f aca="false">IF('Leitura .bpp --&gt; .csv'!I46="","",'Leitura .bpp --&gt; .csv'!I46)</f>
        <v/>
      </c>
      <c r="E2" s="0" t="str">
        <f aca="false">IF('Leitura .bpp --&gt; .csv'!L46="","",'Leitura .bpp --&gt; .csv'!L46)</f>
        <v/>
      </c>
      <c r="F2" s="0" t="str">
        <f aca="false">IF('Leitura .bpp --&gt; .csv'!M46="","",'Leitura .bpp --&gt; .csv'!M46)</f>
        <v/>
      </c>
      <c r="G2" s="0" t="str">
        <f aca="false">IF('Leitura .bpp --&gt; .csv'!K46="","",'Leitura .bpp --&gt; .csv'!K46)</f>
        <v/>
      </c>
      <c r="L2" s="0" t="n">
        <f aca="false">IFERROR(IF(AND(H1="",H2=""),"",IF(H2="TP1",1,IF(H2="TP3",15,IF(AND(A2="",L1=15),"",IF(H1="CAB",L1,L1+1))))),"")</f>
        <v>1</v>
      </c>
    </row>
    <row r="3" customFormat="false" ht="12.75" hidden="false" customHeight="false" outlineLevel="0" collapsed="false">
      <c r="A3" s="0" t="str">
        <f aca="false">IF('Leitura .bpp --&gt; .csv'!F47="","",'Leitura .bpp --&gt; .csv'!F47)</f>
        <v> 0 : 1</v>
      </c>
      <c r="B3" s="0" t="n">
        <f aca="false">IF('Leitura .bpp --&gt; .csv'!G47="","",'Leitura .bpp --&gt; .csv'!G47)</f>
        <v>1</v>
      </c>
      <c r="C3" s="0" t="n">
        <f aca="false">IF('Leitura .bpp --&gt; .csv'!H47="","",'Leitura .bpp --&gt; .csv'!H47)</f>
        <v>32</v>
      </c>
      <c r="D3" s="0" t="str">
        <f aca="false">IF('Leitura .bpp --&gt; .csv'!I47="","",'Leitura .bpp --&gt; .csv'!I47)</f>
        <v> 7.5</v>
      </c>
      <c r="E3" s="0" t="n">
        <f aca="false">IF('Leitura .bpp --&gt; .csv'!L47="","",'Leitura .bpp --&gt; .csv'!L47)</f>
        <v>6</v>
      </c>
      <c r="F3" s="0" t="n">
        <f aca="false">IF('Leitura .bpp --&gt; .csv'!M47="","",'Leitura .bpp --&gt; .csv'!M47)</f>
        <v>0</v>
      </c>
      <c r="G3" s="0" t="n">
        <f aca="false">IF('Leitura .bpp --&gt; .csv'!K47="","",'Leitura .bpp --&gt; .csv'!K47)</f>
        <v>22</v>
      </c>
      <c r="H3" s="0" t="str">
        <f aca="false">IF(A3="",1,IF(A3=" 0 : 1","TP1",IF(A3=" 0 : 3","TP3","CAB")))</f>
        <v>TP1</v>
      </c>
      <c r="I3" s="0" t="str">
        <f aca="false">IF(A3="","",IF(C4=C3,1,""))</f>
        <v/>
      </c>
      <c r="J3" s="0" t="str">
        <f aca="false">IF(A3="","",IF(C3=C2,1,""))</f>
        <v/>
      </c>
      <c r="K3" s="0" t="str">
        <f aca="false">IF(I3=1,1,IF(J3=1,1,""))</f>
        <v/>
      </c>
      <c r="L3" s="0" t="n">
        <f aca="false">IFERROR(IF(AND(H2="",H3=""),"",IF(H3="TP1",1,IF(H3="TP3",15,IF(AND(A3="",L2=15),"",IF(H2="CAB",L2,L2+1))))),"")</f>
        <v>1</v>
      </c>
      <c r="M3" s="0" t="str">
        <f aca="false">IF(A3="","",IF(H3="TP1","1"&amp;"_"&amp;C3,IF(H3="TP3","15"&amp;"_"&amp;C3,L3&amp;"_"&amp;D3)))</f>
        <v>1_32</v>
      </c>
      <c r="N3" s="0" t="str">
        <f aca="false">E3&amp;IF(F3=1,"T","")</f>
        <v>6</v>
      </c>
      <c r="O3" s="24" t="n">
        <f aca="false">IFERROR(((IF(L3=1,0,IF(L3=15,VARIÁVEIS!$B$34,((MID(C3,1,(SEARCH(".",C3,1)-1))&amp;","&amp;MID(C3,(SEARCH(".",C3,1)+1),1))&amp;"0")*1)))*1),"")</f>
        <v>0</v>
      </c>
      <c r="P3" s="0" t="str">
        <f aca="false">(IFERROR(D3/32,""))</f>
        <v/>
      </c>
    </row>
    <row r="4" customFormat="false" ht="12.75" hidden="false" customHeight="false" outlineLevel="0" collapsed="false">
      <c r="A4" s="0" t="str">
        <f aca="false">IF('Leitura .bpp --&gt; .csv'!F48="","",'Leitura .bpp --&gt; .csv'!F48)</f>
        <v> 0 : 1</v>
      </c>
      <c r="B4" s="0" t="n">
        <f aca="false">IF('Leitura .bpp --&gt; .csv'!G48="","",'Leitura .bpp --&gt; .csv'!G48)</f>
        <v>1</v>
      </c>
      <c r="C4" s="0" t="n">
        <f aca="false">IF('Leitura .bpp --&gt; .csv'!H48="","",'Leitura .bpp --&gt; .csv'!H48)</f>
        <v>64</v>
      </c>
      <c r="D4" s="0" t="str">
        <f aca="false">IF('Leitura .bpp --&gt; .csv'!I48="","",'Leitura .bpp --&gt; .csv'!I48)</f>
        <v> 7.5</v>
      </c>
      <c r="E4" s="0" t="str">
        <f aca="false">IF('Leitura .bpp --&gt; .csv'!L48="","",'Leitura .bpp --&gt; .csv'!L48)</f>
        <v> 3.5</v>
      </c>
      <c r="F4" s="0" t="n">
        <f aca="false">IF('Leitura .bpp --&gt; .csv'!M48="","",'Leitura .bpp --&gt; .csv'!M48)</f>
        <v>0</v>
      </c>
      <c r="G4" s="0" t="n">
        <f aca="false">IF('Leitura .bpp --&gt; .csv'!K48="","",'Leitura .bpp --&gt; .csv'!K48)</f>
        <v>30</v>
      </c>
      <c r="H4" s="0" t="str">
        <f aca="false">IF(A4="",1,IF(A4=" 0 : 1","TP1",IF(A4=" 0 : 3","TP3","CAB")))</f>
        <v>TP1</v>
      </c>
      <c r="I4" s="0" t="str">
        <f aca="false">IF(A4="","",IF(C5=C4,1,""))</f>
        <v/>
      </c>
      <c r="J4" s="0" t="str">
        <f aca="false">IF(A4="","",IF(C4=C3,1,""))</f>
        <v/>
      </c>
      <c r="K4" s="0" t="str">
        <f aca="false">IF(I4=1,1,IF(J4=1,1,""))</f>
        <v/>
      </c>
      <c r="L4" s="0" t="n">
        <f aca="false">IFERROR(IF(AND(H3="",H4=""),"",IF(H4="TP1",1,IF(H4="TP3",15,IF(AND(A4="",L3=15),"",IF(H3="CAB",L3,L3+1))))),"")</f>
        <v>1</v>
      </c>
      <c r="M4" s="0" t="str">
        <f aca="false">IF(A4="","",IF(H4="TP1","1"&amp;"_"&amp;C4,IF(H4="TP3","15"&amp;"_"&amp;C4,L4&amp;"_"&amp;D4)))</f>
        <v>1_64</v>
      </c>
      <c r="N4" s="0" t="str">
        <f aca="false">E4&amp;IF(F4=1,"T","")</f>
        <v> 3.5</v>
      </c>
      <c r="O4" s="24" t="n">
        <f aca="false">IFERROR(((IF(L4=1,0,IF(L4=15,VARIÁVEIS!$B$34,((MID(C4,1,(SEARCH(".",C4,1)-1))&amp;","&amp;MID(C4,(SEARCH(".",C4,1)+1),1))&amp;"0")*1)))*1),"")</f>
        <v>0</v>
      </c>
      <c r="P4" s="0" t="str">
        <f aca="false">(IFERROR(D4/32,""))</f>
        <v/>
      </c>
    </row>
    <row r="5" customFormat="false" ht="12.75" hidden="false" customHeight="false" outlineLevel="0" collapsed="false">
      <c r="A5" s="0" t="str">
        <f aca="false">IF('Leitura .bpp --&gt; .csv'!F49="","",'Leitura .bpp --&gt; .csv'!F49)</f>
        <v> 0 : 1</v>
      </c>
      <c r="B5" s="0" t="n">
        <f aca="false">IF('Leitura .bpp --&gt; .csv'!G49="","",'Leitura .bpp --&gt; .csv'!G49)</f>
        <v>1</v>
      </c>
      <c r="C5" s="0" t="n">
        <f aca="false">IF('Leitura .bpp --&gt; .csv'!H49="","",'Leitura .bpp --&gt; .csv'!H49)</f>
        <v>384</v>
      </c>
      <c r="D5" s="0" t="str">
        <f aca="false">IF('Leitura .bpp --&gt; .csv'!I49="","",'Leitura .bpp --&gt; .csv'!I49)</f>
        <v> 7.5</v>
      </c>
      <c r="E5" s="0" t="str">
        <f aca="false">IF('Leitura .bpp --&gt; .csv'!L49="","",'Leitura .bpp --&gt; .csv'!L49)</f>
        <v> 3.5</v>
      </c>
      <c r="F5" s="0" t="n">
        <f aca="false">IF('Leitura .bpp --&gt; .csv'!M49="","",'Leitura .bpp --&gt; .csv'!M49)</f>
        <v>0</v>
      </c>
      <c r="G5" s="0" t="n">
        <f aca="false">IF('Leitura .bpp --&gt; .csv'!K49="","",'Leitura .bpp --&gt; .csv'!K49)</f>
        <v>30</v>
      </c>
      <c r="H5" s="0" t="str">
        <f aca="false">IF(A5="",1,IF(A5=" 0 : 1","TP1",IF(A5=" 0 : 3","TP3","CAB")))</f>
        <v>TP1</v>
      </c>
      <c r="I5" s="0" t="str">
        <f aca="false">IF(A5="","",IF(C6=C5,1,""))</f>
        <v/>
      </c>
      <c r="J5" s="0" t="str">
        <f aca="false">IF(A5="","",IF(C5=C4,1,""))</f>
        <v/>
      </c>
      <c r="K5" s="0" t="str">
        <f aca="false">IF(I5=1,1,IF(J5=1,1,""))</f>
        <v/>
      </c>
      <c r="L5" s="0" t="n">
        <f aca="false">IFERROR(IF(AND(H4="",H5=""),"",IF(H5="TP1",1,IF(H5="TP3",15,IF(AND(A5="",L4=15),"",IF(H4="CAB",L4,L4+1))))),"")</f>
        <v>1</v>
      </c>
      <c r="M5" s="0" t="str">
        <f aca="false">IF(A5="","",IF(H5="TP1","1"&amp;"_"&amp;C5,IF(H5="TP3","15"&amp;"_"&amp;C5,L5&amp;"_"&amp;D5)))</f>
        <v>1_384</v>
      </c>
      <c r="N5" s="0" t="str">
        <f aca="false">E5&amp;IF(F5=1,"T","")</f>
        <v> 3.5</v>
      </c>
      <c r="O5" s="24" t="n">
        <f aca="false">IFERROR(((IF(L5=1,0,IF(L5=15,VARIÁVEIS!$B$34,((MID(C5,1,(SEARCH(".",C5,1)-1))&amp;","&amp;MID(C5,(SEARCH(".",C5,1)+1),1))&amp;"0")*1)))*1),"")</f>
        <v>0</v>
      </c>
      <c r="P5" s="0" t="str">
        <f aca="false">(IFERROR(D5/32,""))</f>
        <v/>
      </c>
    </row>
    <row r="6" customFormat="false" ht="12.75" hidden="false" customHeight="false" outlineLevel="0" collapsed="false">
      <c r="A6" s="0" t="str">
        <f aca="false">IF('Leitura .bpp --&gt; .csv'!F50="","",'Leitura .bpp --&gt; .csv'!F50)</f>
        <v> 0 : 1</v>
      </c>
      <c r="B6" s="0" t="n">
        <f aca="false">IF('Leitura .bpp --&gt; .csv'!G50="","",'Leitura .bpp --&gt; .csv'!G50)</f>
        <v>1</v>
      </c>
      <c r="C6" s="0" t="n">
        <f aca="false">IF('Leitura .bpp --&gt; .csv'!H50="","",'Leitura .bpp --&gt; .csv'!H50)</f>
        <v>416</v>
      </c>
      <c r="D6" s="0" t="str">
        <f aca="false">IF('Leitura .bpp --&gt; .csv'!I50="","",'Leitura .bpp --&gt; .csv'!I50)</f>
        <v> 7.5</v>
      </c>
      <c r="E6" s="0" t="n">
        <f aca="false">IF('Leitura .bpp --&gt; .csv'!L50="","",'Leitura .bpp --&gt; .csv'!L50)</f>
        <v>6</v>
      </c>
      <c r="F6" s="0" t="n">
        <f aca="false">IF('Leitura .bpp --&gt; .csv'!M50="","",'Leitura .bpp --&gt; .csv'!M50)</f>
        <v>0</v>
      </c>
      <c r="G6" s="0" t="n">
        <f aca="false">IF('Leitura .bpp --&gt; .csv'!K50="","",'Leitura .bpp --&gt; .csv'!K50)</f>
        <v>22</v>
      </c>
      <c r="H6" s="0" t="str">
        <f aca="false">IF(A6="",1,IF(A6=" 0 : 1","TP1",IF(A6=" 0 : 3","TP3","CAB")))</f>
        <v>TP1</v>
      </c>
      <c r="I6" s="0" t="str">
        <f aca="false">IF(A6="","",IF(C7=C6,1,""))</f>
        <v/>
      </c>
      <c r="J6" s="0" t="str">
        <f aca="false">IF(A6="","",IF(C6=C5,1,""))</f>
        <v/>
      </c>
      <c r="K6" s="0" t="str">
        <f aca="false">IF(I6=1,1,IF(J6=1,1,""))</f>
        <v/>
      </c>
      <c r="L6" s="0" t="n">
        <f aca="false">IFERROR(IF(AND(H5="",H6=""),"",IF(H6="TP1",1,IF(H6="TP3",15,IF(AND(A6="",L5=15),"",IF(H5="CAB",L5,L5+1))))),"")</f>
        <v>1</v>
      </c>
      <c r="M6" s="0" t="str">
        <f aca="false">IF(A6="","",IF(H6="TP1","1"&amp;"_"&amp;C6,IF(H6="TP3","15"&amp;"_"&amp;C6,L6&amp;"_"&amp;D6)))</f>
        <v>1_416</v>
      </c>
      <c r="N6" s="0" t="str">
        <f aca="false">E6&amp;IF(F6=1,"T","")</f>
        <v>6</v>
      </c>
      <c r="O6" s="24" t="n">
        <f aca="false">IFERROR(((IF(L6=1,0,IF(L6=15,VARIÁVEIS!$B$34,((MID(C6,1,(SEARCH(".",C6,1)-1))&amp;","&amp;MID(C6,(SEARCH(".",C6,1)+1),1))&amp;"0")*1)))*1),"")</f>
        <v>0</v>
      </c>
      <c r="P6" s="0" t="str">
        <f aca="false">(IFERROR(D6/32,""))</f>
        <v/>
      </c>
    </row>
    <row r="7" customFormat="false" ht="12.75" hidden="false" customHeight="false" outlineLevel="0" collapsed="false">
      <c r="A7" s="0" t="str">
        <f aca="false">IF('Leitura .bpp --&gt; .csv'!F51="","",'Leitura .bpp --&gt; .csv'!F51)</f>
        <v/>
      </c>
      <c r="B7" s="0" t="str">
        <f aca="false">IF('Leitura .bpp --&gt; .csv'!G51="","",'Leitura .bpp --&gt; .csv'!G51)</f>
        <v/>
      </c>
      <c r="C7" s="0" t="str">
        <f aca="false">IF('Leitura .bpp --&gt; .csv'!H51="","",'Leitura .bpp --&gt; .csv'!H51)</f>
        <v/>
      </c>
      <c r="D7" s="0" t="str">
        <f aca="false">IF('Leitura .bpp --&gt; .csv'!I51="","",'Leitura .bpp --&gt; .csv'!I51)</f>
        <v/>
      </c>
      <c r="E7" s="0" t="str">
        <f aca="false">IF('Leitura .bpp --&gt; .csv'!L51="","",'Leitura .bpp --&gt; .csv'!L51)</f>
        <v/>
      </c>
      <c r="F7" s="0" t="str">
        <f aca="false">IF('Leitura .bpp --&gt; .csv'!M51="","",'Leitura .bpp --&gt; .csv'!M51)</f>
        <v/>
      </c>
      <c r="G7" s="0" t="str">
        <f aca="false">IF('Leitura .bpp --&gt; .csv'!K51="","",'Leitura .bpp --&gt; .csv'!K51)</f>
        <v/>
      </c>
      <c r="H7" s="0" t="n">
        <f aca="false">IF(A7="",1,IF(A7=" 0 : 1","TP1",IF(A7=" 0 : 3","TP3","CAB")))</f>
        <v>1</v>
      </c>
      <c r="I7" s="0" t="str">
        <f aca="false">IF(A7="","",IF(C8=C7,1,""))</f>
        <v/>
      </c>
      <c r="J7" s="0" t="str">
        <f aca="false">IF(A7="","",IF(C7=C6,1,""))</f>
        <v/>
      </c>
      <c r="K7" s="0" t="str">
        <f aca="false">IF(I7=1,1,IF(J7=1,1,""))</f>
        <v/>
      </c>
      <c r="L7" s="0" t="n">
        <f aca="false">IFERROR(IF(AND(H6="",H7=""),"",IF(H7="TP1",1,IF(H7="TP3",15,IF(AND(A7="",L6=15),"",IF(H6="CAB",L6,L6+1))))),"")</f>
        <v>2</v>
      </c>
      <c r="M7" s="0" t="str">
        <f aca="false">IF(A7="","",IF(H7="TP1","1"&amp;"_"&amp;C7,IF(H7="TP3","15"&amp;"_"&amp;C7,L7&amp;"_"&amp;D7)))</f>
        <v/>
      </c>
      <c r="N7" s="0" t="str">
        <f aca="false">E7&amp;IF(F7=1,"T","")</f>
        <v/>
      </c>
      <c r="O7" s="24" t="str">
        <f aca="false">IFERROR(((IF(L7=1,0,IF(L7=15,VARIÁVEIS!$B$34,((MID(C7,1,(SEARCH(".",C7,1)-1))&amp;","&amp;MID(C7,(SEARCH(".",C7,1)+1),1))&amp;"0")*1)))*1),"")</f>
        <v/>
      </c>
      <c r="P7" s="0" t="str">
        <f aca="false">(IFERROR(D7/32,""))</f>
        <v/>
      </c>
    </row>
    <row r="8" customFormat="false" ht="12.75" hidden="false" customHeight="false" outlineLevel="0" collapsed="false">
      <c r="A8" s="0" t="str">
        <f aca="false">IF('Leitura .bpp --&gt; .csv'!F52="","",'Leitura .bpp --&gt; .csv'!F52)</f>
        <v> 0 : 0</v>
      </c>
      <c r="B8" s="0" t="n">
        <f aca="false">IF('Leitura .bpp --&gt; .csv'!G52="","",'Leitura .bpp --&gt; .csv'!G52)</f>
        <v>1</v>
      </c>
      <c r="C8" s="0" t="str">
        <f aca="false">IF('Leitura .bpp --&gt; .csv'!H52="","",'Leitura .bpp --&gt; .csv'!H52)</f>
        <v> 757.5</v>
      </c>
      <c r="D8" s="0" t="n">
        <f aca="false">IF('Leitura .bpp --&gt; .csv'!I52="","",'Leitura .bpp --&gt; .csv'!I52)</f>
        <v>32</v>
      </c>
      <c r="E8" s="0" t="n">
        <f aca="false">IF('Leitura .bpp --&gt; .csv'!L52="","",'Leitura .bpp --&gt; .csv'!L52)</f>
        <v>6</v>
      </c>
      <c r="F8" s="0" t="n">
        <f aca="false">IF('Leitura .bpp --&gt; .csv'!M52="","",'Leitura .bpp --&gt; .csv'!M52)</f>
        <v>0</v>
      </c>
      <c r="G8" s="0" t="n">
        <f aca="false">IF('Leitura .bpp --&gt; .csv'!K52="","",'Leitura .bpp --&gt; .csv'!K52)</f>
        <v>12</v>
      </c>
      <c r="H8" s="0" t="str">
        <f aca="false">IF(A8="",1,IF(A8=" 0 : 1","TP1",IF(A8=" 0 : 3","TP3","CAB")))</f>
        <v>CAB</v>
      </c>
      <c r="I8" s="0" t="n">
        <f aca="false">IF(A8="","",IF(C9=C8,1,""))</f>
        <v>1</v>
      </c>
      <c r="J8" s="0" t="str">
        <f aca="false">IF(A8="","",IF(C8=C7,1,""))</f>
        <v/>
      </c>
      <c r="K8" s="0" t="n">
        <f aca="false">IF(I8=1,1,IF(J8=1,1,""))</f>
        <v>1</v>
      </c>
      <c r="L8" s="0" t="n">
        <f aca="false">IFERROR(IF(AND(H7="",H8=""),"",IF(H8="TP1",1,IF(H8="TP3",15,IF(AND(A8="",L7=15),"",IF(H7="CAB",L7,L7+1))))),"")</f>
        <v>3</v>
      </c>
      <c r="M8" s="0" t="str">
        <f aca="false">IF(A8="","",IF(H8="TP1","1"&amp;"_"&amp;C8,IF(H8="TP3","15"&amp;"_"&amp;C8,L8&amp;"_"&amp;D8)))</f>
        <v>3_32</v>
      </c>
      <c r="N8" s="0" t="str">
        <f aca="false">E8&amp;IF(F8=1,"T","")</f>
        <v>6</v>
      </c>
      <c r="O8" s="24" t="n">
        <f aca="false">IFERROR(((IF(L8=1,0,IF(L8=15,VARIÁVEIS!$B$34,((MID(C8,1,(SEARCH(".",C8,1)-1))&amp;","&amp;MID(C8,(SEARCH(".",C8,1)+1),1))&amp;"0")*1)))*1),"")</f>
        <v>757.5</v>
      </c>
      <c r="P8" s="0" t="n">
        <f aca="false">(IFERROR(D8/32,""))</f>
        <v>1</v>
      </c>
    </row>
    <row r="9" customFormat="false" ht="12.75" hidden="false" customHeight="false" outlineLevel="0" collapsed="false">
      <c r="A9" s="0" t="str">
        <f aca="false">IF('Leitura .bpp --&gt; .csv'!F53="","",'Leitura .bpp --&gt; .csv'!F53)</f>
        <v> 0 : 0</v>
      </c>
      <c r="B9" s="0" t="n">
        <f aca="false">IF('Leitura .bpp --&gt; .csv'!G53="","",'Leitura .bpp --&gt; .csv'!G53)</f>
        <v>1</v>
      </c>
      <c r="C9" s="0" t="str">
        <f aca="false">IF('Leitura .bpp --&gt; .csv'!H53="","",'Leitura .bpp --&gt; .csv'!H53)</f>
        <v> 757.5</v>
      </c>
      <c r="D9" s="0" t="n">
        <f aca="false">IF('Leitura .bpp --&gt; .csv'!I53="","",'Leitura .bpp --&gt; .csv'!I53)</f>
        <v>64</v>
      </c>
      <c r="E9" s="0" t="n">
        <f aca="false">IF('Leitura .bpp --&gt; .csv'!L53="","",'Leitura .bpp --&gt; .csv'!L53)</f>
        <v>5</v>
      </c>
      <c r="F9" s="0" t="n">
        <f aca="false">IF('Leitura .bpp --&gt; .csv'!M53="","",'Leitura .bpp --&gt; .csv'!M53)</f>
        <v>1</v>
      </c>
      <c r="G9" s="0" t="n">
        <f aca="false">IF('Leitura .bpp --&gt; .csv'!K53="","",'Leitura .bpp --&gt; .csv'!K53)</f>
        <v>0</v>
      </c>
      <c r="H9" s="0" t="str">
        <f aca="false">IF(A9="",1,IF(A9=" 0 : 1","TP1",IF(A9=" 0 : 3","TP3","CAB")))</f>
        <v>CAB</v>
      </c>
      <c r="I9" s="0" t="n">
        <f aca="false">IF(A9="","",IF(C10=C9,1,""))</f>
        <v>1</v>
      </c>
      <c r="J9" s="0" t="n">
        <f aca="false">IF(A9="","",IF(C9=C8,1,""))</f>
        <v>1</v>
      </c>
      <c r="K9" s="0" t="n">
        <f aca="false">IF(I9=1,1,IF(J9=1,1,""))</f>
        <v>1</v>
      </c>
      <c r="L9" s="0" t="n">
        <f aca="false">IFERROR(IF(AND(H8="",H9=""),"",IF(H9="TP1",1,IF(H9="TP3",15,IF(AND(A9="",L8=15),"",IF(H8="CAB",L8,L8+1))))),"")</f>
        <v>3</v>
      </c>
      <c r="M9" s="0" t="str">
        <f aca="false">IF(A9="","",IF(H9="TP1","1"&amp;"_"&amp;C9,IF(H9="TP3","15"&amp;"_"&amp;C9,L9&amp;"_"&amp;D9)))</f>
        <v>3_64</v>
      </c>
      <c r="N9" s="0" t="str">
        <f aca="false">E9&amp;IF(F9=1,"T","")</f>
        <v>5T</v>
      </c>
      <c r="O9" s="24" t="n">
        <f aca="false">IFERROR(((IF(L9=1,0,IF(L9=15,VARIÁVEIS!$B$34,((MID(C9,1,(SEARCH(".",C9,1)-1))&amp;","&amp;MID(C9,(SEARCH(".",C9,1)+1),1))&amp;"0")*1)))*1),"")</f>
        <v>757.5</v>
      </c>
      <c r="P9" s="0" t="n">
        <f aca="false">(IFERROR(D9/32,""))</f>
        <v>2</v>
      </c>
    </row>
    <row r="10" customFormat="false" ht="12.75" hidden="false" customHeight="false" outlineLevel="0" collapsed="false">
      <c r="A10" s="0" t="str">
        <f aca="false">IF('Leitura .bpp --&gt; .csv'!F54="","",'Leitura .bpp --&gt; .csv'!F54)</f>
        <v> 0 : 0</v>
      </c>
      <c r="B10" s="0" t="n">
        <f aca="false">IF('Leitura .bpp --&gt; .csv'!G54="","",'Leitura .bpp --&gt; .csv'!G54)</f>
        <v>1</v>
      </c>
      <c r="C10" s="0" t="str">
        <f aca="false">IF('Leitura .bpp --&gt; .csv'!H54="","",'Leitura .bpp --&gt; .csv'!H54)</f>
        <v> 757.5</v>
      </c>
      <c r="D10" s="0" t="n">
        <f aca="false">IF('Leitura .bpp --&gt; .csv'!I54="","",'Leitura .bpp --&gt; .csv'!I54)</f>
        <v>352</v>
      </c>
      <c r="E10" s="0" t="n">
        <f aca="false">IF('Leitura .bpp --&gt; .csv'!L54="","",'Leitura .bpp --&gt; .csv'!L54)</f>
        <v>5</v>
      </c>
      <c r="F10" s="0" t="n">
        <f aca="false">IF('Leitura .bpp --&gt; .csv'!M54="","",'Leitura .bpp --&gt; .csv'!M54)</f>
        <v>1</v>
      </c>
      <c r="G10" s="0" t="n">
        <f aca="false">IF('Leitura .bpp --&gt; .csv'!K54="","",'Leitura .bpp --&gt; .csv'!K54)</f>
        <v>0</v>
      </c>
      <c r="H10" s="0" t="str">
        <f aca="false">IF(A10="",1,IF(A10=" 0 : 1","TP1",IF(A10=" 0 : 3","TP3","CAB")))</f>
        <v>CAB</v>
      </c>
      <c r="I10" s="0" t="n">
        <f aca="false">IF(A10="","",IF(C11=C10,1,""))</f>
        <v>1</v>
      </c>
      <c r="J10" s="0" t="n">
        <f aca="false">IF(A10="","",IF(C10=C9,1,""))</f>
        <v>1</v>
      </c>
      <c r="K10" s="0" t="n">
        <f aca="false">IF(I10=1,1,IF(J10=1,1,""))</f>
        <v>1</v>
      </c>
      <c r="L10" s="0" t="n">
        <f aca="false">IFERROR(IF(AND(H9="",H10=""),"",IF(H10="TP1",1,IF(H10="TP3",15,IF(AND(A10="",L9=15),"",IF(H9="CAB",L9,L9+1))))),"")</f>
        <v>3</v>
      </c>
      <c r="M10" s="0" t="str">
        <f aca="false">IF(A10="","",IF(H10="TP1","1"&amp;"_"&amp;C10,IF(H10="TP3","15"&amp;"_"&amp;C10,L10&amp;"_"&amp;D10)))</f>
        <v>3_352</v>
      </c>
      <c r="N10" s="0" t="str">
        <f aca="false">E10&amp;IF(F10=1,"T","")</f>
        <v>5T</v>
      </c>
      <c r="O10" s="24" t="n">
        <f aca="false">IFERROR(((IF(L10=1,0,IF(L10=15,VARIÁVEIS!$B$34,((MID(C10,1,(SEARCH(".",C10,1)-1))&amp;","&amp;MID(C10,(SEARCH(".",C10,1)+1),1))&amp;"0")*1)))*1),"")</f>
        <v>757.5</v>
      </c>
      <c r="P10" s="0" t="n">
        <f aca="false">(IFERROR(D10/32,""))</f>
        <v>11</v>
      </c>
    </row>
    <row r="11" customFormat="false" ht="12.75" hidden="false" customHeight="false" outlineLevel="0" collapsed="false">
      <c r="A11" s="0" t="str">
        <f aca="false">IF('Leitura .bpp --&gt; .csv'!F55="","",'Leitura .bpp --&gt; .csv'!F55)</f>
        <v> 0 : 0</v>
      </c>
      <c r="B11" s="0" t="n">
        <f aca="false">IF('Leitura .bpp --&gt; .csv'!G55="","",'Leitura .bpp --&gt; .csv'!G55)</f>
        <v>1</v>
      </c>
      <c r="C11" s="0" t="str">
        <f aca="false">IF('Leitura .bpp --&gt; .csv'!H55="","",'Leitura .bpp --&gt; .csv'!H55)</f>
        <v> 757.5</v>
      </c>
      <c r="D11" s="0" t="n">
        <f aca="false">IF('Leitura .bpp --&gt; .csv'!I55="","",'Leitura .bpp --&gt; .csv'!I55)</f>
        <v>384</v>
      </c>
      <c r="E11" s="0" t="n">
        <f aca="false">IF('Leitura .bpp --&gt; .csv'!L55="","",'Leitura .bpp --&gt; .csv'!L55)</f>
        <v>5</v>
      </c>
      <c r="F11" s="0" t="n">
        <f aca="false">IF('Leitura .bpp --&gt; .csv'!M55="","",'Leitura .bpp --&gt; .csv'!M55)</f>
        <v>1</v>
      </c>
      <c r="G11" s="0" t="n">
        <f aca="false">IF('Leitura .bpp --&gt; .csv'!K55="","",'Leitura .bpp --&gt; .csv'!K55)</f>
        <v>5</v>
      </c>
      <c r="H11" s="0" t="str">
        <f aca="false">IF(A11="",1,IF(A11=" 0 : 1","TP1",IF(A11=" 0 : 3","TP3","CAB")))</f>
        <v>CAB</v>
      </c>
      <c r="I11" s="0" t="n">
        <f aca="false">IF(A11="","",IF(C12=C11,1,""))</f>
        <v>1</v>
      </c>
      <c r="J11" s="0" t="n">
        <f aca="false">IF(A11="","",IF(C11=C10,1,""))</f>
        <v>1</v>
      </c>
      <c r="K11" s="0" t="n">
        <f aca="false">IF(I11=1,1,IF(J11=1,1,""))</f>
        <v>1</v>
      </c>
      <c r="L11" s="0" t="n">
        <f aca="false">IFERROR(IF(AND(H10="",H11=""),"",IF(H11="TP1",1,IF(H11="TP3",15,IF(AND(A11="",L10=15),"",IF(H10="CAB",L10,L10+1))))),"")</f>
        <v>3</v>
      </c>
      <c r="M11" s="0" t="str">
        <f aca="false">IF(A11="","",IF(H11="TP1","1"&amp;"_"&amp;C11,IF(H11="TP3","15"&amp;"_"&amp;C11,L11&amp;"_"&amp;D11)))</f>
        <v>3_384</v>
      </c>
      <c r="N11" s="0" t="str">
        <f aca="false">E11&amp;IF(F11=1,"T","")</f>
        <v>5T</v>
      </c>
      <c r="O11" s="24" t="n">
        <f aca="false">IFERROR(((IF(L11=1,0,IF(L11=15,VARIÁVEIS!$B$34,((MID(C11,1,(SEARCH(".",C11,1)-1))&amp;","&amp;MID(C11,(SEARCH(".",C11,1)+1),1))&amp;"0")*1)))*1),"")</f>
        <v>757.5</v>
      </c>
      <c r="P11" s="0" t="n">
        <f aca="false">(IFERROR(D11/32,""))</f>
        <v>12</v>
      </c>
    </row>
    <row r="12" customFormat="false" ht="12.75" hidden="false" customHeight="false" outlineLevel="0" collapsed="false">
      <c r="A12" s="0" t="str">
        <f aca="false">IF('Leitura .bpp --&gt; .csv'!F56="","",'Leitura .bpp --&gt; .csv'!F56)</f>
        <v> 0 : 0</v>
      </c>
      <c r="B12" s="0" t="n">
        <f aca="false">IF('Leitura .bpp --&gt; .csv'!G56="","",'Leitura .bpp --&gt; .csv'!G56)</f>
        <v>1</v>
      </c>
      <c r="C12" s="0" t="str">
        <f aca="false">IF('Leitura .bpp --&gt; .csv'!H56="","",'Leitura .bpp --&gt; .csv'!H56)</f>
        <v> 757.5</v>
      </c>
      <c r="D12" s="0" t="n">
        <f aca="false">IF('Leitura .bpp --&gt; .csv'!I56="","",'Leitura .bpp --&gt; .csv'!I56)</f>
        <v>416</v>
      </c>
      <c r="E12" s="0" t="n">
        <f aca="false">IF('Leitura .bpp --&gt; .csv'!L56="","",'Leitura .bpp --&gt; .csv'!L56)</f>
        <v>6</v>
      </c>
      <c r="F12" s="0" t="n">
        <f aca="false">IF('Leitura .bpp --&gt; .csv'!M56="","",'Leitura .bpp --&gt; .csv'!M56)</f>
        <v>1</v>
      </c>
      <c r="G12" s="0" t="n">
        <f aca="false">IF('Leitura .bpp --&gt; .csv'!K56="","",'Leitura .bpp --&gt; .csv'!K56)</f>
        <v>5</v>
      </c>
      <c r="H12" s="0" t="str">
        <f aca="false">IF(A12="",1,IF(A12=" 0 : 1","TP1",IF(A12=" 0 : 3","TP3","CAB")))</f>
        <v>CAB</v>
      </c>
      <c r="I12" s="0" t="str">
        <f aca="false">IF(A12="","",IF(C13=C12,1,""))</f>
        <v/>
      </c>
      <c r="J12" s="0" t="n">
        <f aca="false">IF(A12="","",IF(C12=C11,1,""))</f>
        <v>1</v>
      </c>
      <c r="K12" s="0" t="n">
        <f aca="false">IF(I12=1,1,IF(J12=1,1,""))</f>
        <v>1</v>
      </c>
      <c r="L12" s="0" t="n">
        <f aca="false">IFERROR(IF(AND(H11="",H12=""),"",IF(H12="TP1",1,IF(H12="TP3",15,IF(AND(A12="",L11=15),"",IF(H11="CAB",L11,L11+1))))),"")</f>
        <v>3</v>
      </c>
      <c r="M12" s="0" t="str">
        <f aca="false">IF(A12="","",IF(H12="TP1","1"&amp;"_"&amp;C12,IF(H12="TP3","15"&amp;"_"&amp;C12,L12&amp;"_"&amp;D12)))</f>
        <v>3_416</v>
      </c>
      <c r="N12" s="0" t="str">
        <f aca="false">E12&amp;IF(F12=1,"T","")</f>
        <v>6T</v>
      </c>
      <c r="O12" s="24" t="n">
        <f aca="false">IFERROR(((IF(L12=1,0,IF(L12=15,VARIÁVEIS!$B$34,((MID(C12,1,(SEARCH(".",C12,1)-1))&amp;","&amp;MID(C12,(SEARCH(".",C12,1)+1),1))&amp;"0")*1)))*1),"")</f>
        <v>757.5</v>
      </c>
      <c r="P12" s="0" t="n">
        <f aca="false">(IFERROR(D12/32,""))</f>
        <v>13</v>
      </c>
    </row>
    <row r="13" customFormat="false" ht="12.75" hidden="false" customHeight="false" outlineLevel="0" collapsed="false">
      <c r="A13" s="0" t="str">
        <f aca="false">IF('Leitura .bpp --&gt; .csv'!F57="","",'Leitura .bpp --&gt; .csv'!F57)</f>
        <v/>
      </c>
      <c r="B13" s="0" t="str">
        <f aca="false">IF('Leitura .bpp --&gt; .csv'!G57="","",'Leitura .bpp --&gt; .csv'!G57)</f>
        <v/>
      </c>
      <c r="C13" s="0" t="str">
        <f aca="false">IF('Leitura .bpp --&gt; .csv'!H57="","",'Leitura .bpp --&gt; .csv'!H57)</f>
        <v/>
      </c>
      <c r="D13" s="0" t="str">
        <f aca="false">IF('Leitura .bpp --&gt; .csv'!I57="","",'Leitura .bpp --&gt; .csv'!I57)</f>
        <v/>
      </c>
      <c r="E13" s="0" t="str">
        <f aca="false">IF('Leitura .bpp --&gt; .csv'!L57="","",'Leitura .bpp --&gt; .csv'!L57)</f>
        <v/>
      </c>
      <c r="F13" s="0" t="str">
        <f aca="false">IF('Leitura .bpp --&gt; .csv'!M57="","",'Leitura .bpp --&gt; .csv'!M57)</f>
        <v/>
      </c>
      <c r="G13" s="0" t="str">
        <f aca="false">IF('Leitura .bpp --&gt; .csv'!K57="","",'Leitura .bpp --&gt; .csv'!K57)</f>
        <v/>
      </c>
      <c r="H13" s="0" t="n">
        <f aca="false">IF(A13="",1,IF(A13=" 0 : 1","TP1",IF(A13=" 0 : 3","TP3","CAB")))</f>
        <v>1</v>
      </c>
      <c r="I13" s="0" t="str">
        <f aca="false">IF(A13="","",IF(C14=C13,1,""))</f>
        <v/>
      </c>
      <c r="J13" s="0" t="str">
        <f aca="false">IF(A13="","",IF(C13=C12,1,""))</f>
        <v/>
      </c>
      <c r="K13" s="0" t="str">
        <f aca="false">IF(I13=1,1,IF(J13=1,1,""))</f>
        <v/>
      </c>
      <c r="L13" s="0" t="n">
        <f aca="false">IFERROR(IF(AND(H12="",H13=""),"",IF(H13="TP1",1,IF(H13="TP3",15,IF(AND(A13="",L12=15),"",IF(H12="CAB",L12,L12+1))))),"")</f>
        <v>3</v>
      </c>
      <c r="M13" s="0" t="str">
        <f aca="false">IF(A13="","",IF(H13="TP1","1"&amp;"_"&amp;C13,IF(H13="TP3","15"&amp;"_"&amp;C13,L13&amp;"_"&amp;D13)))</f>
        <v/>
      </c>
      <c r="N13" s="0" t="str">
        <f aca="false">E13&amp;IF(F13=1,"T","")</f>
        <v/>
      </c>
      <c r="O13" s="24" t="str">
        <f aca="false">IFERROR(((IF(L13=1,0,IF(L13=15,VARIÁVEIS!$B$34,((MID(C13,1,(SEARCH(".",C13,1)-1))&amp;","&amp;MID(C13,(SEARCH(".",C13,1)+1),1))&amp;"0")*1)))*1),"")</f>
        <v/>
      </c>
      <c r="P13" s="0" t="str">
        <f aca="false">(IFERROR(D13/32,""))</f>
        <v/>
      </c>
    </row>
    <row r="14" customFormat="false" ht="12.75" hidden="false" customHeight="false" outlineLevel="0" collapsed="false">
      <c r="A14" s="0" t="str">
        <f aca="false">IF('Leitura .bpp --&gt; .csv'!F58="","",'Leitura .bpp --&gt; .csv'!F58)</f>
        <v> 0 : 0</v>
      </c>
      <c r="B14" s="0" t="n">
        <f aca="false">IF('Leitura .bpp --&gt; .csv'!G58="","",'Leitura .bpp --&gt; .csv'!G58)</f>
        <v>1</v>
      </c>
      <c r="C14" s="0" t="str">
        <f aca="false">IF('Leitura .bpp --&gt; .csv'!H58="","",'Leitura .bpp --&gt; .csv'!H58)</f>
        <v> 1522.5</v>
      </c>
      <c r="D14" s="0" t="n">
        <f aca="false">IF('Leitura .bpp --&gt; .csv'!I58="","",'Leitura .bpp --&gt; .csv'!I58)</f>
        <v>32</v>
      </c>
      <c r="E14" s="0" t="n">
        <f aca="false">IF('Leitura .bpp --&gt; .csv'!L58="","",'Leitura .bpp --&gt; .csv'!L58)</f>
        <v>6</v>
      </c>
      <c r="F14" s="0" t="n">
        <f aca="false">IF('Leitura .bpp --&gt; .csv'!M58="","",'Leitura .bpp --&gt; .csv'!M58)</f>
        <v>0</v>
      </c>
      <c r="G14" s="0" t="n">
        <f aca="false">IF('Leitura .bpp --&gt; .csv'!K58="","",'Leitura .bpp --&gt; .csv'!K58)</f>
        <v>12</v>
      </c>
      <c r="H14" s="0" t="str">
        <f aca="false">IF(A14="",1,IF(A14=" 0 : 1","TP1",IF(A14=" 0 : 3","TP3","CAB")))</f>
        <v>CAB</v>
      </c>
      <c r="I14" s="0" t="n">
        <f aca="false">IF(A14="","",IF(C15=C14,1,""))</f>
        <v>1</v>
      </c>
      <c r="J14" s="0" t="str">
        <f aca="false">IF(A14="","",IF(C14=C13,1,""))</f>
        <v/>
      </c>
      <c r="K14" s="0" t="n">
        <f aca="false">IF(I14=1,1,IF(J14=1,1,""))</f>
        <v>1</v>
      </c>
      <c r="L14" s="0" t="n">
        <f aca="false">IFERROR(IF(AND(H13="",H14=""),"",IF(H14="TP1",1,IF(H14="TP3",15,IF(AND(A14="",L13=15),"",IF(H13="CAB",L13,L13+1))))),"")</f>
        <v>4</v>
      </c>
      <c r="M14" s="0" t="str">
        <f aca="false">IF(A14="","",IF(H14="TP1","1"&amp;"_"&amp;C14,IF(H14="TP3","15"&amp;"_"&amp;C14,L14&amp;"_"&amp;D14)))</f>
        <v>4_32</v>
      </c>
      <c r="N14" s="0" t="str">
        <f aca="false">E14&amp;IF(F14=1,"T","")</f>
        <v>6</v>
      </c>
      <c r="O14" s="24" t="n">
        <f aca="false">IFERROR(((IF(L14=1,0,IF(L14=15,VARIÁVEIS!$B$34,((MID(C14,1,(SEARCH(".",C14,1)-1))&amp;","&amp;MID(C14,(SEARCH(".",C14,1)+1),1))&amp;"0")*1)))*1),"")</f>
        <v>1522.5</v>
      </c>
      <c r="P14" s="0" t="n">
        <f aca="false">(IFERROR(D14/32,""))</f>
        <v>1</v>
      </c>
    </row>
    <row r="15" customFormat="false" ht="12.75" hidden="false" customHeight="false" outlineLevel="0" collapsed="false">
      <c r="A15" s="0" t="str">
        <f aca="false">IF('Leitura .bpp --&gt; .csv'!F59="","",'Leitura .bpp --&gt; .csv'!F59)</f>
        <v> 0 : 0</v>
      </c>
      <c r="B15" s="0" t="n">
        <f aca="false">IF('Leitura .bpp --&gt; .csv'!G59="","",'Leitura .bpp --&gt; .csv'!G59)</f>
        <v>1</v>
      </c>
      <c r="C15" s="0" t="str">
        <f aca="false">IF('Leitura .bpp --&gt; .csv'!H59="","",'Leitura .bpp --&gt; .csv'!H59)</f>
        <v> 1522.5</v>
      </c>
      <c r="D15" s="0" t="n">
        <f aca="false">IF('Leitura .bpp --&gt; .csv'!I59="","",'Leitura .bpp --&gt; .csv'!I59)</f>
        <v>64</v>
      </c>
      <c r="E15" s="0" t="n">
        <f aca="false">IF('Leitura .bpp --&gt; .csv'!L59="","",'Leitura .bpp --&gt; .csv'!L59)</f>
        <v>5</v>
      </c>
      <c r="F15" s="0" t="n">
        <f aca="false">IF('Leitura .bpp --&gt; .csv'!M59="","",'Leitura .bpp --&gt; .csv'!M59)</f>
        <v>1</v>
      </c>
      <c r="G15" s="0" t="n">
        <f aca="false">IF('Leitura .bpp --&gt; .csv'!K59="","",'Leitura .bpp --&gt; .csv'!K59)</f>
        <v>0</v>
      </c>
      <c r="H15" s="0" t="str">
        <f aca="false">IF(A15="",1,IF(A15=" 0 : 1","TP1",IF(A15=" 0 : 3","TP3","CAB")))</f>
        <v>CAB</v>
      </c>
      <c r="I15" s="0" t="n">
        <f aca="false">IF(A15="","",IF(C16=C15,1,""))</f>
        <v>1</v>
      </c>
      <c r="J15" s="0" t="n">
        <f aca="false">IF(A15="","",IF(C15=C14,1,""))</f>
        <v>1</v>
      </c>
      <c r="K15" s="0" t="n">
        <f aca="false">IF(I15=1,1,IF(J15=1,1,""))</f>
        <v>1</v>
      </c>
      <c r="L15" s="0" t="n">
        <f aca="false">IFERROR(IF(AND(H14="",H15=""),"",IF(H15="TP1",1,IF(H15="TP3",15,IF(AND(A15="",L14=15),"",IF(H14="CAB",L14,L14+1))))),"")</f>
        <v>4</v>
      </c>
      <c r="M15" s="0" t="str">
        <f aca="false">IF(A15="","",IF(H15="TP1","1"&amp;"_"&amp;C15,IF(H15="TP3","15"&amp;"_"&amp;C15,L15&amp;"_"&amp;D15)))</f>
        <v>4_64</v>
      </c>
      <c r="N15" s="0" t="str">
        <f aca="false">E15&amp;IF(F15=1,"T","")</f>
        <v>5T</v>
      </c>
      <c r="O15" s="24" t="n">
        <f aca="false">IFERROR(((IF(L15=1,0,IF(L15=15,VARIÁVEIS!$B$34,((MID(C15,1,(SEARCH(".",C15,1)-1))&amp;","&amp;MID(C15,(SEARCH(".",C15,1)+1),1))&amp;"0")*1)))*1),"")</f>
        <v>1522.5</v>
      </c>
      <c r="P15" s="0" t="n">
        <f aca="false">(IFERROR(D15/32,""))</f>
        <v>2</v>
      </c>
    </row>
    <row r="16" customFormat="false" ht="12.75" hidden="false" customHeight="false" outlineLevel="0" collapsed="false">
      <c r="A16" s="0" t="str">
        <f aca="false">IF('Leitura .bpp --&gt; .csv'!F60="","",'Leitura .bpp --&gt; .csv'!F60)</f>
        <v> 0 : 0</v>
      </c>
      <c r="B16" s="0" t="n">
        <f aca="false">IF('Leitura .bpp --&gt; .csv'!G60="","",'Leitura .bpp --&gt; .csv'!G60)</f>
        <v>1</v>
      </c>
      <c r="C16" s="0" t="str">
        <f aca="false">IF('Leitura .bpp --&gt; .csv'!H60="","",'Leitura .bpp --&gt; .csv'!H60)</f>
        <v> 1522.5</v>
      </c>
      <c r="D16" s="0" t="n">
        <f aca="false">IF('Leitura .bpp --&gt; .csv'!I60="","",'Leitura .bpp --&gt; .csv'!I60)</f>
        <v>352</v>
      </c>
      <c r="E16" s="0" t="n">
        <f aca="false">IF('Leitura .bpp --&gt; .csv'!L60="","",'Leitura .bpp --&gt; .csv'!L60)</f>
        <v>5</v>
      </c>
      <c r="F16" s="0" t="n">
        <f aca="false">IF('Leitura .bpp --&gt; .csv'!M60="","",'Leitura .bpp --&gt; .csv'!M60)</f>
        <v>1</v>
      </c>
      <c r="G16" s="0" t="n">
        <f aca="false">IF('Leitura .bpp --&gt; .csv'!K60="","",'Leitura .bpp --&gt; .csv'!K60)</f>
        <v>0</v>
      </c>
      <c r="H16" s="0" t="str">
        <f aca="false">IF(A16="",1,IF(A16=" 0 : 1","TP1",IF(A16=" 0 : 3","TP3","CAB")))</f>
        <v>CAB</v>
      </c>
      <c r="I16" s="0" t="n">
        <f aca="false">IF(A16="","",IF(C17=C16,1,""))</f>
        <v>1</v>
      </c>
      <c r="J16" s="0" t="n">
        <f aca="false">IF(A16="","",IF(C16=C15,1,""))</f>
        <v>1</v>
      </c>
      <c r="K16" s="0" t="n">
        <f aca="false">IF(I16=1,1,IF(J16=1,1,""))</f>
        <v>1</v>
      </c>
      <c r="L16" s="0" t="n">
        <f aca="false">IFERROR(IF(AND(H15="",H16=""),"",IF(H16="TP1",1,IF(H16="TP3",15,IF(AND(A16="",L15=15),"",IF(H15="CAB",L15,L15+1))))),"")</f>
        <v>4</v>
      </c>
      <c r="M16" s="0" t="str">
        <f aca="false">IF(A16="","",IF(H16="TP1","1"&amp;"_"&amp;C16,IF(H16="TP3","15"&amp;"_"&amp;C16,L16&amp;"_"&amp;D16)))</f>
        <v>4_352</v>
      </c>
      <c r="N16" s="0" t="str">
        <f aca="false">E16&amp;IF(F16=1,"T","")</f>
        <v>5T</v>
      </c>
      <c r="O16" s="24" t="n">
        <f aca="false">IFERROR(((IF(L16=1,0,IF(L16=15,VARIÁVEIS!$B$34,((MID(C16,1,(SEARCH(".",C16,1)-1))&amp;","&amp;MID(C16,(SEARCH(".",C16,1)+1),1))&amp;"0")*1)))*1),"")</f>
        <v>1522.5</v>
      </c>
      <c r="P16" s="0" t="n">
        <f aca="false">(IFERROR(D16/32,""))</f>
        <v>11</v>
      </c>
    </row>
    <row r="17" customFormat="false" ht="12.75" hidden="false" customHeight="false" outlineLevel="0" collapsed="false">
      <c r="A17" s="0" t="str">
        <f aca="false">IF('Leitura .bpp --&gt; .csv'!F61="","",'Leitura .bpp --&gt; .csv'!F61)</f>
        <v> 0 : 0</v>
      </c>
      <c r="B17" s="0" t="n">
        <f aca="false">IF('Leitura .bpp --&gt; .csv'!G61="","",'Leitura .bpp --&gt; .csv'!G61)</f>
        <v>1</v>
      </c>
      <c r="C17" s="0" t="str">
        <f aca="false">IF('Leitura .bpp --&gt; .csv'!H61="","",'Leitura .bpp --&gt; .csv'!H61)</f>
        <v> 1522.5</v>
      </c>
      <c r="D17" s="0" t="n">
        <f aca="false">IF('Leitura .bpp --&gt; .csv'!I61="","",'Leitura .bpp --&gt; .csv'!I61)</f>
        <v>384</v>
      </c>
      <c r="E17" s="0" t="n">
        <f aca="false">IF('Leitura .bpp --&gt; .csv'!L61="","",'Leitura .bpp --&gt; .csv'!L61)</f>
        <v>5</v>
      </c>
      <c r="F17" s="0" t="n">
        <f aca="false">IF('Leitura .bpp --&gt; .csv'!M61="","",'Leitura .bpp --&gt; .csv'!M61)</f>
        <v>1</v>
      </c>
      <c r="G17" s="0" t="n">
        <f aca="false">IF('Leitura .bpp --&gt; .csv'!K61="","",'Leitura .bpp --&gt; .csv'!K61)</f>
        <v>5</v>
      </c>
      <c r="H17" s="0" t="str">
        <f aca="false">IF(A17="",1,IF(A17=" 0 : 1","TP1",IF(A17=" 0 : 3","TP3","CAB")))</f>
        <v>CAB</v>
      </c>
      <c r="I17" s="0" t="n">
        <f aca="false">IF(A17="","",IF(C18=C17,1,""))</f>
        <v>1</v>
      </c>
      <c r="J17" s="0" t="n">
        <f aca="false">IF(A17="","",IF(C17=C16,1,""))</f>
        <v>1</v>
      </c>
      <c r="K17" s="0" t="n">
        <f aca="false">IF(I17=1,1,IF(J17=1,1,""))</f>
        <v>1</v>
      </c>
      <c r="L17" s="0" t="n">
        <f aca="false">IFERROR(IF(AND(H16="",H17=""),"",IF(H17="TP1",1,IF(H17="TP3",15,IF(AND(A17="",L16=15),"",IF(H16="CAB",L16,L16+1))))),"")</f>
        <v>4</v>
      </c>
      <c r="M17" s="0" t="str">
        <f aca="false">IF(A17="","",IF(H17="TP1","1"&amp;"_"&amp;C17,IF(H17="TP3","15"&amp;"_"&amp;C17,L17&amp;"_"&amp;D17)))</f>
        <v>4_384</v>
      </c>
      <c r="N17" s="0" t="str">
        <f aca="false">E17&amp;IF(F17=1,"T","")</f>
        <v>5T</v>
      </c>
      <c r="O17" s="24" t="n">
        <f aca="false">IFERROR(((IF(L17=1,0,IF(L17=15,VARIÁVEIS!$B$34,((MID(C17,1,(SEARCH(".",C17,1)-1))&amp;","&amp;MID(C17,(SEARCH(".",C17,1)+1),1))&amp;"0")*1)))*1),"")</f>
        <v>1522.5</v>
      </c>
      <c r="P17" s="0" t="n">
        <f aca="false">(IFERROR(D17/32,""))</f>
        <v>12</v>
      </c>
    </row>
    <row r="18" customFormat="false" ht="12.75" hidden="false" customHeight="false" outlineLevel="0" collapsed="false">
      <c r="A18" s="0" t="str">
        <f aca="false">IF('Leitura .bpp --&gt; .csv'!F62="","",'Leitura .bpp --&gt; .csv'!F62)</f>
        <v> 0 : 0</v>
      </c>
      <c r="B18" s="0" t="n">
        <f aca="false">IF('Leitura .bpp --&gt; .csv'!G62="","",'Leitura .bpp --&gt; .csv'!G62)</f>
        <v>1</v>
      </c>
      <c r="C18" s="0" t="str">
        <f aca="false">IF('Leitura .bpp --&gt; .csv'!H62="","",'Leitura .bpp --&gt; .csv'!H62)</f>
        <v> 1522.5</v>
      </c>
      <c r="D18" s="0" t="n">
        <f aca="false">IF('Leitura .bpp --&gt; .csv'!I62="","",'Leitura .bpp --&gt; .csv'!I62)</f>
        <v>416</v>
      </c>
      <c r="E18" s="0" t="n">
        <f aca="false">IF('Leitura .bpp --&gt; .csv'!L62="","",'Leitura .bpp --&gt; .csv'!L62)</f>
        <v>6</v>
      </c>
      <c r="F18" s="0" t="n">
        <f aca="false">IF('Leitura .bpp --&gt; .csv'!M62="","",'Leitura .bpp --&gt; .csv'!M62)</f>
        <v>1</v>
      </c>
      <c r="G18" s="0" t="n">
        <f aca="false">IF('Leitura .bpp --&gt; .csv'!K62="","",'Leitura .bpp --&gt; .csv'!K62)</f>
        <v>5</v>
      </c>
      <c r="H18" s="0" t="str">
        <f aca="false">IF(A18="",1,IF(A18=" 0 : 1","TP1",IF(A18=" 0 : 3","TP3","CAB")))</f>
        <v>CAB</v>
      </c>
      <c r="I18" s="0" t="str">
        <f aca="false">IF(A18="","",IF(C19=C18,1,""))</f>
        <v/>
      </c>
      <c r="J18" s="0" t="n">
        <f aca="false">IF(A18="","",IF(C18=C17,1,""))</f>
        <v>1</v>
      </c>
      <c r="K18" s="0" t="n">
        <f aca="false">IF(I18=1,1,IF(J18=1,1,""))</f>
        <v>1</v>
      </c>
      <c r="L18" s="0" t="n">
        <f aca="false">IFERROR(IF(AND(H17="",H18=""),"",IF(H18="TP1",1,IF(H18="TP3",15,IF(AND(A18="",L17=15),"",IF(H17="CAB",L17,L17+1))))),"")</f>
        <v>4</v>
      </c>
      <c r="M18" s="0" t="str">
        <f aca="false">IF(A18="","",IF(H18="TP1","1"&amp;"_"&amp;C18,IF(H18="TP3","15"&amp;"_"&amp;C18,L18&amp;"_"&amp;D18)))</f>
        <v>4_416</v>
      </c>
      <c r="N18" s="0" t="str">
        <f aca="false">E18&amp;IF(F18=1,"T","")</f>
        <v>6T</v>
      </c>
      <c r="O18" s="24" t="n">
        <f aca="false">IFERROR(((IF(L18=1,0,IF(L18=15,VARIÁVEIS!$B$34,((MID(C18,1,(SEARCH(".",C18,1)-1))&amp;","&amp;MID(C18,(SEARCH(".",C18,1)+1),1))&amp;"0")*1)))*1),"")</f>
        <v>1522.5</v>
      </c>
      <c r="P18" s="0" t="n">
        <f aca="false">(IFERROR(D18/32,""))</f>
        <v>13</v>
      </c>
    </row>
    <row r="19" customFormat="false" ht="12.75" hidden="false" customHeight="false" outlineLevel="0" collapsed="false">
      <c r="A19" s="0" t="str">
        <f aca="false">IF('Leitura .bpp --&gt; .csv'!F63="","",'Leitura .bpp --&gt; .csv'!F63)</f>
        <v/>
      </c>
      <c r="B19" s="0" t="str">
        <f aca="false">IF('Leitura .bpp --&gt; .csv'!G63="","",'Leitura .bpp --&gt; .csv'!G63)</f>
        <v/>
      </c>
      <c r="C19" s="0" t="str">
        <f aca="false">IF('Leitura .bpp --&gt; .csv'!H63="","",'Leitura .bpp --&gt; .csv'!H63)</f>
        <v/>
      </c>
      <c r="D19" s="0" t="str">
        <f aca="false">IF('Leitura .bpp --&gt; .csv'!I63="","",'Leitura .bpp --&gt; .csv'!I63)</f>
        <v/>
      </c>
      <c r="E19" s="0" t="str">
        <f aca="false">IF('Leitura .bpp --&gt; .csv'!L63="","",'Leitura .bpp --&gt; .csv'!L63)</f>
        <v/>
      </c>
      <c r="F19" s="0" t="str">
        <f aca="false">IF('Leitura .bpp --&gt; .csv'!M63="","",'Leitura .bpp --&gt; .csv'!M63)</f>
        <v/>
      </c>
      <c r="G19" s="0" t="str">
        <f aca="false">IF('Leitura .bpp --&gt; .csv'!K63="","",'Leitura .bpp --&gt; .csv'!K63)</f>
        <v/>
      </c>
      <c r="H19" s="0" t="n">
        <f aca="false">IF(A19="",1,IF(A19=" 0 : 1","TP1",IF(A19=" 0 : 3","TP3","CAB")))</f>
        <v>1</v>
      </c>
      <c r="I19" s="0" t="str">
        <f aca="false">IF(A19="","",IF(C20=C19,1,""))</f>
        <v/>
      </c>
      <c r="J19" s="0" t="str">
        <f aca="false">IF(A19="","",IF(C19=C18,1,""))</f>
        <v/>
      </c>
      <c r="K19" s="0" t="str">
        <f aca="false">IF(I19=1,1,IF(J19=1,1,""))</f>
        <v/>
      </c>
      <c r="L19" s="0" t="n">
        <f aca="false">IFERROR(IF(AND(H18="",H19=""),"",IF(H19="TP1",1,IF(H19="TP3",15,IF(AND(A19="",L18=15),"",IF(H18="CAB",L18,L18+1))))),"")</f>
        <v>4</v>
      </c>
      <c r="M19" s="0" t="str">
        <f aca="false">IF(A19="","",IF(H19="TP1","1"&amp;"_"&amp;C19,IF(H19="TP3","15"&amp;"_"&amp;C19,L19&amp;"_"&amp;D19)))</f>
        <v/>
      </c>
      <c r="N19" s="0" t="str">
        <f aca="false">E19&amp;IF(F19=1,"T","")</f>
        <v/>
      </c>
      <c r="O19" s="24" t="str">
        <f aca="false">IFERROR(((IF(L19=1,0,IF(L19=15,VARIÁVEIS!$B$34,((MID(C19,1,(SEARCH(".",C19,1)-1))&amp;","&amp;MID(C19,(SEARCH(".",C19,1)+1),1))&amp;"0")*1)))*1),"")</f>
        <v/>
      </c>
      <c r="P19" s="0" t="str">
        <f aca="false">(IFERROR(D19/32,""))</f>
        <v/>
      </c>
    </row>
    <row r="20" customFormat="false" ht="12.75" hidden="false" customHeight="false" outlineLevel="0" collapsed="false">
      <c r="A20" s="0" t="str">
        <f aca="false">IF('Leitura .bpp --&gt; .csv'!F64="","",'Leitura .bpp --&gt; .csv'!F64)</f>
        <v> 0 : 3</v>
      </c>
      <c r="B20" s="0" t="n">
        <f aca="false">IF('Leitura .bpp --&gt; .csv'!G64="","",'Leitura .bpp --&gt; .csv'!G64)</f>
        <v>4</v>
      </c>
      <c r="C20" s="0" t="n">
        <f aca="false">IF('Leitura .bpp --&gt; .csv'!H64="","",'Leitura .bpp --&gt; .csv'!H64)</f>
        <v>32</v>
      </c>
      <c r="D20" s="0" t="str">
        <f aca="false">IF('Leitura .bpp --&gt; .csv'!I64="","",'Leitura .bpp --&gt; .csv'!I64)</f>
        <v> 7.5</v>
      </c>
      <c r="E20" s="0" t="n">
        <f aca="false">IF('Leitura .bpp --&gt; .csv'!L64="","",'Leitura .bpp --&gt; .csv'!L64)</f>
        <v>6</v>
      </c>
      <c r="F20" s="0" t="n">
        <f aca="false">IF('Leitura .bpp --&gt; .csv'!M64="","",'Leitura .bpp --&gt; .csv'!M64)</f>
        <v>0</v>
      </c>
      <c r="G20" s="0" t="n">
        <f aca="false">IF('Leitura .bpp --&gt; .csv'!K64="","",'Leitura .bpp --&gt; .csv'!K64)</f>
        <v>22</v>
      </c>
      <c r="H20" s="0" t="str">
        <f aca="false">IF(A20="",1,IF(A20=" 0 : 1","TP1",IF(A20=" 0 : 3","TP3","CAB")))</f>
        <v>TP3</v>
      </c>
      <c r="I20" s="0" t="str">
        <f aca="false">IF(A20="","",IF(C21=C20,1,""))</f>
        <v/>
      </c>
      <c r="J20" s="0" t="str">
        <f aca="false">IF(A20="","",IF(C20=C19,1,""))</f>
        <v/>
      </c>
      <c r="K20" s="0" t="str">
        <f aca="false">IF(I20=1,1,IF(J20=1,1,""))</f>
        <v/>
      </c>
      <c r="L20" s="0" t="n">
        <f aca="false">IFERROR(IF(AND(H19="",H20=""),"",IF(H20="TP1",1,IF(H20="TP3",15,IF(AND(A20="",L19=15),"",IF(H19="CAB",L19,L19+1))))),"")</f>
        <v>15</v>
      </c>
      <c r="M20" s="0" t="str">
        <f aca="false">IF(A20="","",IF(H20="TP1","1"&amp;"_"&amp;C20,IF(H20="TP3","15"&amp;"_"&amp;C20,L20&amp;"_"&amp;D20)))</f>
        <v>15_32</v>
      </c>
      <c r="N20" s="0" t="str">
        <f aca="false">E20&amp;IF(F20=1,"T","")</f>
        <v>6</v>
      </c>
      <c r="O20" s="24" t="n">
        <f aca="false">IFERROR(((IF(L20=1,0,IF(L20=15,VARIÁVEIS!$B$34,((MID(C20,1,(SEARCH(".",C20,1)-1))&amp;","&amp;MID(C20,(SEARCH(".",C20,1)+1),1))&amp;"0")*1)))*1),"")</f>
        <v>2280</v>
      </c>
      <c r="P20" s="0" t="str">
        <f aca="false">(IFERROR(D20/32,""))</f>
        <v/>
      </c>
    </row>
    <row r="21" customFormat="false" ht="12.75" hidden="false" customHeight="false" outlineLevel="0" collapsed="false">
      <c r="A21" s="0" t="str">
        <f aca="false">IF('Leitura .bpp --&gt; .csv'!F65="","",'Leitura .bpp --&gt; .csv'!F65)</f>
        <v> 0 : 3</v>
      </c>
      <c r="B21" s="0" t="n">
        <f aca="false">IF('Leitura .bpp --&gt; .csv'!G65="","",'Leitura .bpp --&gt; .csv'!G65)</f>
        <v>4</v>
      </c>
      <c r="C21" s="0" t="n">
        <f aca="false">IF('Leitura .bpp --&gt; .csv'!H65="","",'Leitura .bpp --&gt; .csv'!H65)</f>
        <v>64</v>
      </c>
      <c r="D21" s="0" t="str">
        <f aca="false">IF('Leitura .bpp --&gt; .csv'!I65="","",'Leitura .bpp --&gt; .csv'!I65)</f>
        <v> 7.5</v>
      </c>
      <c r="E21" s="0" t="str">
        <f aca="false">IF('Leitura .bpp --&gt; .csv'!L65="","",'Leitura .bpp --&gt; .csv'!L65)</f>
        <v> 3.5</v>
      </c>
      <c r="F21" s="0" t="n">
        <f aca="false">IF('Leitura .bpp --&gt; .csv'!M65="","",'Leitura .bpp --&gt; .csv'!M65)</f>
        <v>0</v>
      </c>
      <c r="G21" s="0" t="n">
        <f aca="false">IF('Leitura .bpp --&gt; .csv'!K65="","",'Leitura .bpp --&gt; .csv'!K65)</f>
        <v>30</v>
      </c>
      <c r="H21" s="0" t="str">
        <f aca="false">IF(A21="",1,IF(A21=" 0 : 1","TP1",IF(A21=" 0 : 3","TP3","CAB")))</f>
        <v>TP3</v>
      </c>
      <c r="I21" s="0" t="str">
        <f aca="false">IF(A21="","",IF(C22=C21,1,""))</f>
        <v/>
      </c>
      <c r="J21" s="0" t="str">
        <f aca="false">IF(A21="","",IF(C21=C20,1,""))</f>
        <v/>
      </c>
      <c r="K21" s="0" t="str">
        <f aca="false">IF(I21=1,1,IF(J21=1,1,""))</f>
        <v/>
      </c>
      <c r="L21" s="0" t="n">
        <f aca="false">IFERROR(IF(AND(H20="",H21=""),"",IF(H21="TP1",1,IF(H21="TP3",15,IF(AND(A21="",L20=15),"",IF(H20="CAB",L20,L20+1))))),"")</f>
        <v>15</v>
      </c>
      <c r="M21" s="0" t="str">
        <f aca="false">IF(A21="","",IF(H21="TP1","1"&amp;"_"&amp;C21,IF(H21="TP3","15"&amp;"_"&amp;C21,L21&amp;"_"&amp;D21)))</f>
        <v>15_64</v>
      </c>
      <c r="N21" s="0" t="str">
        <f aca="false">E21&amp;IF(F21=1,"T","")</f>
        <v> 3.5</v>
      </c>
      <c r="O21" s="24" t="n">
        <f aca="false">IFERROR(((IF(L21=1,0,IF(L21=15,VARIÁVEIS!$B$34,((MID(C21,1,(SEARCH(".",C21,1)-1))&amp;","&amp;MID(C21,(SEARCH(".",C21,1)+1),1))&amp;"0")*1)))*1),"")</f>
        <v>2280</v>
      </c>
      <c r="P21" s="0" t="str">
        <f aca="false">(IFERROR(D21/32,""))</f>
        <v/>
      </c>
    </row>
    <row r="22" customFormat="false" ht="12.75" hidden="false" customHeight="false" outlineLevel="0" collapsed="false">
      <c r="A22" s="0" t="str">
        <f aca="false">IF('Leitura .bpp --&gt; .csv'!F66="","",'Leitura .bpp --&gt; .csv'!F66)</f>
        <v> 0 : 3</v>
      </c>
      <c r="B22" s="0" t="n">
        <f aca="false">IF('Leitura .bpp --&gt; .csv'!G66="","",'Leitura .bpp --&gt; .csv'!G66)</f>
        <v>4</v>
      </c>
      <c r="C22" s="0" t="n">
        <f aca="false">IF('Leitura .bpp --&gt; .csv'!H66="","",'Leitura .bpp --&gt; .csv'!H66)</f>
        <v>384</v>
      </c>
      <c r="D22" s="0" t="str">
        <f aca="false">IF('Leitura .bpp --&gt; .csv'!I66="","",'Leitura .bpp --&gt; .csv'!I66)</f>
        <v> 7.5</v>
      </c>
      <c r="E22" s="0" t="str">
        <f aca="false">IF('Leitura .bpp --&gt; .csv'!L66="","",'Leitura .bpp --&gt; .csv'!L66)</f>
        <v> 3.5</v>
      </c>
      <c r="F22" s="0" t="n">
        <f aca="false">IF('Leitura .bpp --&gt; .csv'!M66="","",'Leitura .bpp --&gt; .csv'!M66)</f>
        <v>0</v>
      </c>
      <c r="G22" s="0" t="n">
        <f aca="false">IF('Leitura .bpp --&gt; .csv'!K66="","",'Leitura .bpp --&gt; .csv'!K66)</f>
        <v>30</v>
      </c>
      <c r="H22" s="0" t="str">
        <f aca="false">IF(A22="",1,IF(A22=" 0 : 1","TP1",IF(A22=" 0 : 3","TP3","CAB")))</f>
        <v>TP3</v>
      </c>
      <c r="I22" s="0" t="str">
        <f aca="false">IF(A22="","",IF(C23=C22,1,""))</f>
        <v/>
      </c>
      <c r="J22" s="0" t="str">
        <f aca="false">IF(A22="","",IF(C22=C21,1,""))</f>
        <v/>
      </c>
      <c r="K22" s="0" t="str">
        <f aca="false">IF(I22=1,1,IF(J22=1,1,""))</f>
        <v/>
      </c>
      <c r="L22" s="0" t="n">
        <f aca="false">IFERROR(IF(AND(H21="",H22=""),"",IF(H22="TP1",1,IF(H22="TP3",15,IF(AND(A22="",L21=15),"",IF(H21="CAB",L21,L21+1))))),"")</f>
        <v>15</v>
      </c>
      <c r="M22" s="0" t="str">
        <f aca="false">IF(A22="","",IF(H22="TP1","1"&amp;"_"&amp;C22,IF(H22="TP3","15"&amp;"_"&amp;C22,L22&amp;"_"&amp;D22)))</f>
        <v>15_384</v>
      </c>
      <c r="N22" s="0" t="str">
        <f aca="false">E22&amp;IF(F22=1,"T","")</f>
        <v> 3.5</v>
      </c>
      <c r="O22" s="24" t="n">
        <f aca="false">IFERROR(((IF(L22=1,0,IF(L22=15,VARIÁVEIS!$B$34,((MID(C22,1,(SEARCH(".",C22,1)-1))&amp;","&amp;MID(C22,(SEARCH(".",C22,1)+1),1))&amp;"0")*1)))*1),"")</f>
        <v>2280</v>
      </c>
      <c r="P22" s="0" t="str">
        <f aca="false">(IFERROR(D22/32,""))</f>
        <v/>
      </c>
    </row>
    <row r="23" customFormat="false" ht="12.75" hidden="false" customHeight="false" outlineLevel="0" collapsed="false">
      <c r="A23" s="0" t="str">
        <f aca="false">IF('Leitura .bpp --&gt; .csv'!F67="","",'Leitura .bpp --&gt; .csv'!F67)</f>
        <v> 0 : 3</v>
      </c>
      <c r="B23" s="0" t="n">
        <f aca="false">IF('Leitura .bpp --&gt; .csv'!G67="","",'Leitura .bpp --&gt; .csv'!G67)</f>
        <v>4</v>
      </c>
      <c r="C23" s="0" t="n">
        <f aca="false">IF('Leitura .bpp --&gt; .csv'!H67="","",'Leitura .bpp --&gt; .csv'!H67)</f>
        <v>416</v>
      </c>
      <c r="D23" s="0" t="str">
        <f aca="false">IF('Leitura .bpp --&gt; .csv'!I67="","",'Leitura .bpp --&gt; .csv'!I67)</f>
        <v> 7.5</v>
      </c>
      <c r="E23" s="0" t="n">
        <f aca="false">IF('Leitura .bpp --&gt; .csv'!L67="","",'Leitura .bpp --&gt; .csv'!L67)</f>
        <v>6</v>
      </c>
      <c r="F23" s="0" t="n">
        <f aca="false">IF('Leitura .bpp --&gt; .csv'!M67="","",'Leitura .bpp --&gt; .csv'!M67)</f>
        <v>0</v>
      </c>
      <c r="G23" s="0" t="n">
        <f aca="false">IF('Leitura .bpp --&gt; .csv'!K67="","",'Leitura .bpp --&gt; .csv'!K67)</f>
        <v>22</v>
      </c>
      <c r="H23" s="0" t="str">
        <f aca="false">IF(A23="",1,IF(A23=" 0 : 1","TP1",IF(A23=" 0 : 3","TP3","CAB")))</f>
        <v>TP3</v>
      </c>
      <c r="I23" s="0" t="str">
        <f aca="false">IF(A23="","",IF(C24=C23,1,""))</f>
        <v/>
      </c>
      <c r="J23" s="0" t="str">
        <f aca="false">IF(A23="","",IF(C23=C22,1,""))</f>
        <v/>
      </c>
      <c r="K23" s="0" t="str">
        <f aca="false">IF(I23=1,1,IF(J23=1,1,""))</f>
        <v/>
      </c>
      <c r="L23" s="0" t="n">
        <f aca="false">IFERROR(IF(AND(H22="",H23=""),"",IF(H23="TP1",1,IF(H23="TP3",15,IF(AND(A23="",L22=15),"",IF(H22="CAB",L22,L22+1))))),"")</f>
        <v>15</v>
      </c>
      <c r="M23" s="0" t="str">
        <f aca="false">IF(A23="","",IF(H23="TP1","1"&amp;"_"&amp;C23,IF(H23="TP3","15"&amp;"_"&amp;C23,L23&amp;"_"&amp;D23)))</f>
        <v>15_416</v>
      </c>
      <c r="N23" s="0" t="str">
        <f aca="false">E23&amp;IF(F23=1,"T","")</f>
        <v>6</v>
      </c>
      <c r="O23" s="24" t="n">
        <f aca="false">IFERROR(((IF(L23=1,0,IF(L23=15,VARIÁVEIS!$B$34,((MID(C23,1,(SEARCH(".",C23,1)-1))&amp;","&amp;MID(C23,(SEARCH(".",C23,1)+1),1))&amp;"0")*1)))*1),"")</f>
        <v>2280</v>
      </c>
      <c r="P23" s="0" t="str">
        <f aca="false">(IFERROR(D23/32,""))</f>
        <v/>
      </c>
    </row>
    <row r="24" customFormat="false" ht="12.75" hidden="false" customHeight="false" outlineLevel="0" collapsed="false">
      <c r="A24" s="0" t="str">
        <f aca="false">IF('Leitura .bpp --&gt; .csv'!F68="","",'Leitura .bpp --&gt; .csv'!F68)</f>
        <v/>
      </c>
      <c r="B24" s="0" t="str">
        <f aca="false">IF('Leitura .bpp --&gt; .csv'!G68="","",'Leitura .bpp --&gt; .csv'!G68)</f>
        <v/>
      </c>
      <c r="C24" s="0" t="str">
        <f aca="false">IF('Leitura .bpp --&gt; .csv'!H68="","",'Leitura .bpp --&gt; .csv'!H68)</f>
        <v/>
      </c>
      <c r="D24" s="0" t="str">
        <f aca="false">IF('Leitura .bpp --&gt; .csv'!I68="","",'Leitura .bpp --&gt; .csv'!I68)</f>
        <v/>
      </c>
      <c r="E24" s="0" t="str">
        <f aca="false">IF('Leitura .bpp --&gt; .csv'!L68="","",'Leitura .bpp --&gt; .csv'!L68)</f>
        <v/>
      </c>
      <c r="F24" s="0" t="str">
        <f aca="false">IF('Leitura .bpp --&gt; .csv'!M68="","",'Leitura .bpp --&gt; .csv'!M68)</f>
        <v/>
      </c>
      <c r="G24" s="0" t="str">
        <f aca="false">IF('Leitura .bpp --&gt; .csv'!K68="","",'Leitura .bpp --&gt; .csv'!K68)</f>
        <v/>
      </c>
      <c r="H24" s="0" t="n">
        <f aca="false">IF(A24="",1,IF(A24=" 0 : 1","TP1",IF(A24=" 0 : 3","TP3","CAB")))</f>
        <v>1</v>
      </c>
      <c r="I24" s="0" t="str">
        <f aca="false">IF(A24="","",IF(C25=C24,1,""))</f>
        <v/>
      </c>
      <c r="J24" s="0" t="str">
        <f aca="false">IF(A24="","",IF(C24=C23,1,""))</f>
        <v/>
      </c>
      <c r="K24" s="0" t="str">
        <f aca="false">IF(I24=1,1,IF(J24=1,1,""))</f>
        <v/>
      </c>
      <c r="L24" s="0" t="str">
        <f aca="false">IFERROR(IF(AND(H23="",H24=""),"",IF(H24="TP1",1,IF(H24="TP3",15,IF(AND(A24="",L23=15),"",IF(H23="CAB",L23,L23+1))))),"")</f>
        <v/>
      </c>
      <c r="M24" s="0" t="str">
        <f aca="false">IF(A24="","",IF(H24="TP1","1"&amp;"_"&amp;C24,IF(H24="TP3","15"&amp;"_"&amp;C24,L24&amp;"_"&amp;D24)))</f>
        <v/>
      </c>
      <c r="N24" s="0" t="str">
        <f aca="false">E24&amp;IF(F24=1,"T","")</f>
        <v/>
      </c>
      <c r="O24" s="24" t="str">
        <f aca="false">IFERROR(((IF(L24=1,0,IF(L24=15,VARIÁVEIS!$B$34,((MID(C24,1,(SEARCH(".",C24,1)-1))&amp;","&amp;MID(C24,(SEARCH(".",C24,1)+1),1))&amp;"0")*1)))*1),"")</f>
        <v/>
      </c>
      <c r="P24" s="0" t="str">
        <f aca="false">(IFERROR(D24/32,""))</f>
        <v/>
      </c>
    </row>
    <row r="25" customFormat="false" ht="12.75" hidden="false" customHeight="false" outlineLevel="0" collapsed="false">
      <c r="A25" s="0" t="str">
        <f aca="false">IF('Leitura .bpp --&gt; .csv'!F69="","",'Leitura .bpp --&gt; .csv'!F69)</f>
        <v/>
      </c>
      <c r="B25" s="0" t="str">
        <f aca="false">IF('Leitura .bpp --&gt; .csv'!G69="","",'Leitura .bpp --&gt; .csv'!G69)</f>
        <v/>
      </c>
      <c r="C25" s="0" t="str">
        <f aca="false">IF('Leitura .bpp --&gt; .csv'!H69="","",'Leitura .bpp --&gt; .csv'!H69)</f>
        <v/>
      </c>
      <c r="D25" s="0" t="str">
        <f aca="false">IF('Leitura .bpp --&gt; .csv'!I69="","",'Leitura .bpp --&gt; .csv'!I69)</f>
        <v/>
      </c>
      <c r="E25" s="0" t="str">
        <f aca="false">IF('Leitura .bpp --&gt; .csv'!L69="","",'Leitura .bpp --&gt; .csv'!L69)</f>
        <v/>
      </c>
      <c r="F25" s="0" t="str">
        <f aca="false">IF('Leitura .bpp --&gt; .csv'!M69="","",'Leitura .bpp --&gt; .csv'!M69)</f>
        <v/>
      </c>
      <c r="G25" s="0" t="str">
        <f aca="false">IF('Leitura .bpp --&gt; .csv'!K69="","",'Leitura .bpp --&gt; .csv'!K69)</f>
        <v/>
      </c>
      <c r="H25" s="0" t="n">
        <f aca="false">IF(A25="",1,IF(A25=" 0 : 1","TP1",IF(A25=" 0 : 3","TP3","CAB")))</f>
        <v>1</v>
      </c>
      <c r="I25" s="0" t="str">
        <f aca="false">IF(A25="","",IF(C26=C25,1,""))</f>
        <v/>
      </c>
      <c r="J25" s="0" t="str">
        <f aca="false">IF(A25="","",IF(C25=C24,1,""))</f>
        <v/>
      </c>
      <c r="K25" s="0" t="str">
        <f aca="false">IF(I25=1,1,IF(J25=1,1,""))</f>
        <v/>
      </c>
      <c r="L25" s="0" t="str">
        <f aca="false">IFERROR(IF(AND(H24="",H25=""),"",IF(H25="TP1",1,IF(H25="TP3",15,IF(AND(A25="",L24=15),"",IF(H24="CAB",L24,L24+1))))),"")</f>
        <v/>
      </c>
      <c r="M25" s="0" t="str">
        <f aca="false">IF(A25="","",IF(H25="TP1","1"&amp;"_"&amp;C25,IF(H25="TP3","15"&amp;"_"&amp;C25,L25&amp;"_"&amp;D25)))</f>
        <v/>
      </c>
      <c r="N25" s="0" t="str">
        <f aca="false">E25&amp;IF(F25=1,"T","")</f>
        <v/>
      </c>
      <c r="O25" s="24" t="str">
        <f aca="false">IFERROR(((IF(L25=1,0,IF(L25=15,VARIÁVEIS!$B$34,((MID(C25,1,(SEARCH(".",C25,1)-1))&amp;","&amp;MID(C25,(SEARCH(".",C25,1)+1),1))&amp;"0")*1)))*1),"")</f>
        <v/>
      </c>
      <c r="P25" s="0" t="str">
        <f aca="false">(IFERROR(D25/32,""))</f>
        <v/>
      </c>
    </row>
    <row r="26" customFormat="false" ht="12.75" hidden="false" customHeight="false" outlineLevel="0" collapsed="false">
      <c r="A26" s="0" t="str">
        <f aca="false">IF('Leitura .bpp --&gt; .csv'!F70="","",'Leitura .bpp --&gt; .csv'!F70)</f>
        <v/>
      </c>
      <c r="B26" s="0" t="str">
        <f aca="false">IF('Leitura .bpp --&gt; .csv'!G70="","",'Leitura .bpp --&gt; .csv'!G70)</f>
        <v/>
      </c>
      <c r="C26" s="0" t="str">
        <f aca="false">IF('Leitura .bpp --&gt; .csv'!H70="","",'Leitura .bpp --&gt; .csv'!H70)</f>
        <v/>
      </c>
      <c r="D26" s="0" t="str">
        <f aca="false">IF('Leitura .bpp --&gt; .csv'!I70="","",'Leitura .bpp --&gt; .csv'!I70)</f>
        <v/>
      </c>
      <c r="E26" s="0" t="str">
        <f aca="false">IF('Leitura .bpp --&gt; .csv'!L70="","",'Leitura .bpp --&gt; .csv'!L70)</f>
        <v/>
      </c>
      <c r="F26" s="0" t="str">
        <f aca="false">IF('Leitura .bpp --&gt; .csv'!M70="","",'Leitura .bpp --&gt; .csv'!M70)</f>
        <v/>
      </c>
      <c r="G26" s="0" t="str">
        <f aca="false">IF('Leitura .bpp --&gt; .csv'!K70="","",'Leitura .bpp --&gt; .csv'!K70)</f>
        <v/>
      </c>
      <c r="H26" s="0" t="n">
        <f aca="false">IF(A26="",1,IF(A26=" 0 : 1","TP1",IF(A26=" 0 : 3","TP3","CAB")))</f>
        <v>1</v>
      </c>
      <c r="I26" s="0" t="str">
        <f aca="false">IF(A26="","",IF(C27=C26,1,""))</f>
        <v/>
      </c>
      <c r="J26" s="0" t="str">
        <f aca="false">IF(A26="","",IF(C26=C25,1,""))</f>
        <v/>
      </c>
      <c r="K26" s="0" t="str">
        <f aca="false">IF(I26=1,1,IF(J26=1,1,""))</f>
        <v/>
      </c>
      <c r="L26" s="0" t="str">
        <f aca="false">IFERROR(IF(AND(H25="",H26=""),"",IF(H26="TP1",1,IF(H26="TP3",15,IF(AND(A26="",L25=15),"",IF(H25="CAB",L25,L25+1))))),"")</f>
        <v/>
      </c>
      <c r="M26" s="0" t="str">
        <f aca="false">IF(A26="","",IF(H26="TP1","1"&amp;"_"&amp;C26,IF(H26="TP3","15"&amp;"_"&amp;C26,L26&amp;"_"&amp;D26)))</f>
        <v/>
      </c>
      <c r="N26" s="0" t="str">
        <f aca="false">E26&amp;IF(F26=1,"T","")</f>
        <v/>
      </c>
      <c r="O26" s="0" t="str">
        <f aca="false">IFERROR(((IF(L26=1,0,IF(L26=15,VARIÁVEIS!$B$34,((MID(C26,1,(SEARCH(".",C26,1)-1))&amp;","&amp;MID(C26,(SEARCH(".",C26,1)+1),1))&amp;"0")*1)))*1),"")</f>
        <v/>
      </c>
      <c r="P26" s="0" t="str">
        <f aca="false">(IFERROR(D26/32,""))</f>
        <v/>
      </c>
    </row>
    <row r="27" customFormat="false" ht="12.75" hidden="false" customHeight="false" outlineLevel="0" collapsed="false">
      <c r="A27" s="0" t="str">
        <f aca="false">IF('Leitura .bpp --&gt; .csv'!F71="","",'Leitura .bpp --&gt; .csv'!F71)</f>
        <v/>
      </c>
      <c r="B27" s="0" t="str">
        <f aca="false">IF('Leitura .bpp --&gt; .csv'!G71="","",'Leitura .bpp --&gt; .csv'!G71)</f>
        <v/>
      </c>
      <c r="C27" s="0" t="str">
        <f aca="false">IF('Leitura .bpp --&gt; .csv'!H71="","",'Leitura .bpp --&gt; .csv'!H71)</f>
        <v/>
      </c>
      <c r="D27" s="0" t="str">
        <f aca="false">IF('Leitura .bpp --&gt; .csv'!I71="","",'Leitura .bpp --&gt; .csv'!I71)</f>
        <v/>
      </c>
      <c r="E27" s="0" t="str">
        <f aca="false">IF('Leitura .bpp --&gt; .csv'!L71="","",'Leitura .bpp --&gt; .csv'!L71)</f>
        <v/>
      </c>
      <c r="F27" s="0" t="str">
        <f aca="false">IF('Leitura .bpp --&gt; .csv'!M71="","",'Leitura .bpp --&gt; .csv'!M71)</f>
        <v/>
      </c>
      <c r="G27" s="0" t="str">
        <f aca="false">IF('Leitura .bpp --&gt; .csv'!K71="","",'Leitura .bpp --&gt; .csv'!K71)</f>
        <v/>
      </c>
      <c r="H27" s="0" t="n">
        <f aca="false">IF(A27="",1,IF(A27=" 0 : 1","TP1",IF(A27=" 0 : 3","TP3","CAB")))</f>
        <v>1</v>
      </c>
      <c r="I27" s="0" t="str">
        <f aca="false">IF(A27="","",IF(C28=C27,1,""))</f>
        <v/>
      </c>
      <c r="J27" s="0" t="str">
        <f aca="false">IF(A27="","",IF(C27=C26,1,""))</f>
        <v/>
      </c>
      <c r="K27" s="0" t="str">
        <f aca="false">IF(I27=1,1,IF(J27=1,1,""))</f>
        <v/>
      </c>
      <c r="L27" s="0" t="str">
        <f aca="false">IFERROR(IF(AND(H26="",H27=""),"",IF(H27="TP1",1,IF(H27="TP3",15,IF(AND(A27="",L26=15),"",IF(H26="CAB",L26,L26+1))))),"")</f>
        <v/>
      </c>
      <c r="M27" s="0" t="str">
        <f aca="false">IF(A27="","",IF(H27="TP1","1"&amp;"_"&amp;C27,IF(H27="TP3","15"&amp;"_"&amp;C27,L27&amp;"_"&amp;D27)))</f>
        <v/>
      </c>
      <c r="N27" s="0" t="str">
        <f aca="false">E27&amp;IF(F27=1,"T","")</f>
        <v/>
      </c>
      <c r="O27" s="0" t="str">
        <f aca="false">IFERROR(((IF(L27=1,0,IF(L27=15,VARIÁVEIS!$B$34,((MID(C27,1,(SEARCH(".",C27,1)-1))&amp;","&amp;MID(C27,(SEARCH(".",C27,1)+1),1))&amp;"0")*1)))*1),"")</f>
        <v/>
      </c>
      <c r="P27" s="0" t="str">
        <f aca="false">(IFERROR(D27/32,""))</f>
        <v/>
      </c>
    </row>
    <row r="28" customFormat="false" ht="12.75" hidden="false" customHeight="false" outlineLevel="0" collapsed="false">
      <c r="A28" s="0" t="str">
        <f aca="false">IF('Leitura .bpp --&gt; .csv'!F72="","",'Leitura .bpp --&gt; .csv'!F72)</f>
        <v/>
      </c>
      <c r="B28" s="0" t="str">
        <f aca="false">IF('Leitura .bpp --&gt; .csv'!G72="","",'Leitura .bpp --&gt; .csv'!G72)</f>
        <v/>
      </c>
      <c r="C28" s="0" t="str">
        <f aca="false">IF('Leitura .bpp --&gt; .csv'!H72="","",'Leitura .bpp --&gt; .csv'!H72)</f>
        <v/>
      </c>
      <c r="D28" s="0" t="str">
        <f aca="false">IF('Leitura .bpp --&gt; .csv'!I72="","",'Leitura .bpp --&gt; .csv'!I72)</f>
        <v/>
      </c>
      <c r="E28" s="0" t="str">
        <f aca="false">IF('Leitura .bpp --&gt; .csv'!L72="","",'Leitura .bpp --&gt; .csv'!L72)</f>
        <v/>
      </c>
      <c r="F28" s="0" t="str">
        <f aca="false">IF('Leitura .bpp --&gt; .csv'!M72="","",'Leitura .bpp --&gt; .csv'!M72)</f>
        <v/>
      </c>
      <c r="G28" s="0" t="str">
        <f aca="false">IF('Leitura .bpp --&gt; .csv'!K72="","",'Leitura .bpp --&gt; .csv'!K72)</f>
        <v/>
      </c>
      <c r="H28" s="0" t="n">
        <f aca="false">IF(A28="",1,IF(A28=" 0 : 1","TP1",IF(A28=" 0 : 3","TP3","CAB")))</f>
        <v>1</v>
      </c>
      <c r="I28" s="0" t="str">
        <f aca="false">IF(A28="","",IF(C29=C28,1,""))</f>
        <v/>
      </c>
      <c r="J28" s="0" t="str">
        <f aca="false">IF(A28="","",IF(C28=C27,1,""))</f>
        <v/>
      </c>
      <c r="K28" s="0" t="str">
        <f aca="false">IF(I28=1,1,IF(J28=1,1,""))</f>
        <v/>
      </c>
      <c r="L28" s="0" t="str">
        <f aca="false">IFERROR(IF(AND(H27="",H28=""),"",IF(H28="TP1",1,IF(H28="TP3",15,IF(AND(A28="",L27=15),"",IF(H27="CAB",L27,L27+1))))),"")</f>
        <v/>
      </c>
      <c r="M28" s="0" t="str">
        <f aca="false">IF(A28="","",IF(H28="TP1","1"&amp;"_"&amp;C28,IF(H28="TP3","15"&amp;"_"&amp;C28,L28&amp;"_"&amp;D28)))</f>
        <v/>
      </c>
      <c r="N28" s="0" t="str">
        <f aca="false">E28&amp;IF(F28=1,"T","")</f>
        <v/>
      </c>
      <c r="O28" s="0" t="str">
        <f aca="false">IFERROR(((IF(L28=1,0,IF(L28=15,VARIÁVEIS!$B$34,((MID(C28,1,(SEARCH(".",C28,1)-1))&amp;","&amp;MID(C28,(SEARCH(".",C28,1)+1),1))&amp;"0")*1)))*1),"")</f>
        <v/>
      </c>
      <c r="P28" s="0" t="str">
        <f aca="false">(IFERROR(D28/32,""))</f>
        <v/>
      </c>
    </row>
    <row r="29" customFormat="false" ht="12.75" hidden="false" customHeight="false" outlineLevel="0" collapsed="false">
      <c r="A29" s="0" t="str">
        <f aca="false">IF('Leitura .bpp --&gt; .csv'!F73="","",'Leitura .bpp --&gt; .csv'!F73)</f>
        <v/>
      </c>
      <c r="B29" s="0" t="str">
        <f aca="false">IF('Leitura .bpp --&gt; .csv'!G73="","",'Leitura .bpp --&gt; .csv'!G73)</f>
        <v/>
      </c>
      <c r="C29" s="0" t="str">
        <f aca="false">IF('Leitura .bpp --&gt; .csv'!H73="","",'Leitura .bpp --&gt; .csv'!H73)</f>
        <v/>
      </c>
      <c r="D29" s="0" t="str">
        <f aca="false">IF('Leitura .bpp --&gt; .csv'!I73="","",'Leitura .bpp --&gt; .csv'!I73)</f>
        <v/>
      </c>
      <c r="E29" s="0" t="str">
        <f aca="false">IF('Leitura .bpp --&gt; .csv'!L73="","",'Leitura .bpp --&gt; .csv'!L73)</f>
        <v/>
      </c>
      <c r="F29" s="0" t="str">
        <f aca="false">IF('Leitura .bpp --&gt; .csv'!M73="","",'Leitura .bpp --&gt; .csv'!M73)</f>
        <v/>
      </c>
      <c r="G29" s="0" t="str">
        <f aca="false">IF('Leitura .bpp --&gt; .csv'!K73="","",'Leitura .bpp --&gt; .csv'!K73)</f>
        <v/>
      </c>
      <c r="H29" s="0" t="n">
        <f aca="false">IF(A29="",1,IF(A29=" 0 : 1","TP1",IF(A29=" 0 : 3","TP3","CAB")))</f>
        <v>1</v>
      </c>
      <c r="I29" s="0" t="str">
        <f aca="false">IF(A29="","",IF(C30=C29,1,""))</f>
        <v/>
      </c>
      <c r="J29" s="0" t="str">
        <f aca="false">IF(A29="","",IF(C29=C28,1,""))</f>
        <v/>
      </c>
      <c r="K29" s="0" t="str">
        <f aca="false">IF(I29=1,1,IF(J29=1,1,""))</f>
        <v/>
      </c>
      <c r="L29" s="0" t="str">
        <f aca="false">IFERROR(IF(AND(H28="",H29=""),"",IF(H29="TP1",1,IF(H29="TP3",15,IF(AND(A29="",L28=15),"",IF(H28="CAB",L28,L28+1))))),"")</f>
        <v/>
      </c>
      <c r="M29" s="0" t="str">
        <f aca="false">IF(A29="","",IF(H29="TP1","1"&amp;"_"&amp;C29,IF(H29="TP3","15"&amp;"_"&amp;C29,L29&amp;"_"&amp;D29)))</f>
        <v/>
      </c>
      <c r="N29" s="0" t="str">
        <f aca="false">E29&amp;IF(F29=1,"T","")</f>
        <v/>
      </c>
      <c r="O29" s="0" t="str">
        <f aca="false">IFERROR(((IF(L29=1,0,IF(L29=15,VARIÁVEIS!$B$34,((MID(C29,1,(SEARCH(".",C29,1)-1))&amp;","&amp;MID(C29,(SEARCH(".",C29,1)+1),1))&amp;"0")*1)))*1),"")</f>
        <v/>
      </c>
      <c r="P29" s="0" t="str">
        <f aca="false">(IFERROR(D29/32,""))</f>
        <v/>
      </c>
    </row>
    <row r="30" customFormat="false" ht="12.75" hidden="false" customHeight="false" outlineLevel="0" collapsed="false">
      <c r="A30" s="0" t="str">
        <f aca="false">IF('Leitura .bpp --&gt; .csv'!F74="","",'Leitura .bpp --&gt; .csv'!F74)</f>
        <v/>
      </c>
      <c r="B30" s="0" t="str">
        <f aca="false">IF('Leitura .bpp --&gt; .csv'!G74="","",'Leitura .bpp --&gt; .csv'!G74)</f>
        <v/>
      </c>
      <c r="C30" s="0" t="str">
        <f aca="false">IF('Leitura .bpp --&gt; .csv'!H74="","",'Leitura .bpp --&gt; .csv'!H74)</f>
        <v/>
      </c>
      <c r="D30" s="0" t="str">
        <f aca="false">IF('Leitura .bpp --&gt; .csv'!I74="","",'Leitura .bpp --&gt; .csv'!I74)</f>
        <v/>
      </c>
      <c r="E30" s="0" t="str">
        <f aca="false">IF('Leitura .bpp --&gt; .csv'!L74="","",'Leitura .bpp --&gt; .csv'!L74)</f>
        <v/>
      </c>
      <c r="F30" s="0" t="str">
        <f aca="false">IF('Leitura .bpp --&gt; .csv'!M74="","",'Leitura .bpp --&gt; .csv'!M74)</f>
        <v/>
      </c>
      <c r="G30" s="0" t="str">
        <f aca="false">IF('Leitura .bpp --&gt; .csv'!K74="","",'Leitura .bpp --&gt; .csv'!K74)</f>
        <v/>
      </c>
      <c r="H30" s="0" t="n">
        <f aca="false">IF(A30="",1,IF(A30=" 0 : 1","TP1",IF(A30=" 0 : 3","TP3","CAB")))</f>
        <v>1</v>
      </c>
      <c r="I30" s="0" t="str">
        <f aca="false">IF(A30="","",IF(C31=C30,1,""))</f>
        <v/>
      </c>
      <c r="J30" s="0" t="str">
        <f aca="false">IF(A30="","",IF(C30=C29,1,""))</f>
        <v/>
      </c>
      <c r="K30" s="0" t="str">
        <f aca="false">IF(I30=1,1,IF(J30=1,1,""))</f>
        <v/>
      </c>
      <c r="L30" s="0" t="str">
        <f aca="false">IFERROR(IF(AND(H29="",H30=""),"",IF(H30="TP1",1,IF(H30="TP3",15,IF(AND(A30="",L29=15),"",IF(H29="CAB",L29,L29+1))))),"")</f>
        <v/>
      </c>
      <c r="M30" s="0" t="str">
        <f aca="false">IF(A30="","",IF(H30="TP1","1"&amp;"_"&amp;C30,IF(H30="TP3","15"&amp;"_"&amp;C30,L30&amp;"_"&amp;D30)))</f>
        <v/>
      </c>
      <c r="N30" s="0" t="str">
        <f aca="false">E30&amp;IF(F30=1,"T","")</f>
        <v/>
      </c>
      <c r="O30" s="0" t="str">
        <f aca="false">IFERROR(((IF(L30=1,0,IF(L30=15,VARIÁVEIS!$B$34,((MID(C30,1,(SEARCH(".",C30,1)-1))&amp;","&amp;MID(C30,(SEARCH(".",C30,1)+1),1))&amp;"0")*1)))*1),"")</f>
        <v/>
      </c>
      <c r="P30" s="0" t="str">
        <f aca="false">(IFERROR(D30/32,""))</f>
        <v/>
      </c>
    </row>
    <row r="31" customFormat="false" ht="12.75" hidden="false" customHeight="false" outlineLevel="0" collapsed="false">
      <c r="A31" s="0" t="str">
        <f aca="false">IF('Leitura .bpp --&gt; .csv'!F75="","",'Leitura .bpp --&gt; .csv'!F75)</f>
        <v/>
      </c>
      <c r="B31" s="0" t="str">
        <f aca="false">IF('Leitura .bpp --&gt; .csv'!G75="","",'Leitura .bpp --&gt; .csv'!G75)</f>
        <v/>
      </c>
      <c r="C31" s="0" t="str">
        <f aca="false">IF('Leitura .bpp --&gt; .csv'!H75="","",'Leitura .bpp --&gt; .csv'!H75)</f>
        <v/>
      </c>
      <c r="D31" s="0" t="str">
        <f aca="false">IF('Leitura .bpp --&gt; .csv'!I75="","",'Leitura .bpp --&gt; .csv'!I75)</f>
        <v/>
      </c>
      <c r="E31" s="0" t="str">
        <f aca="false">IF('Leitura .bpp --&gt; .csv'!L75="","",'Leitura .bpp --&gt; .csv'!L75)</f>
        <v/>
      </c>
      <c r="F31" s="0" t="str">
        <f aca="false">IF('Leitura .bpp --&gt; .csv'!M75="","",'Leitura .bpp --&gt; .csv'!M75)</f>
        <v/>
      </c>
      <c r="G31" s="0" t="str">
        <f aca="false">IF('Leitura .bpp --&gt; .csv'!K75="","",'Leitura .bpp --&gt; .csv'!K75)</f>
        <v/>
      </c>
      <c r="H31" s="0" t="n">
        <f aca="false">IF(A31="",1,IF(A31=" 0 : 1","TP1",IF(A31=" 0 : 3","TP3","CAB")))</f>
        <v>1</v>
      </c>
      <c r="I31" s="0" t="str">
        <f aca="false">IF(A31="","",IF(C32=C31,1,""))</f>
        <v/>
      </c>
      <c r="J31" s="0" t="str">
        <f aca="false">IF(A31="","",IF(C31=C30,1,""))</f>
        <v/>
      </c>
      <c r="K31" s="0" t="str">
        <f aca="false">IF(I31=1,1,IF(J31=1,1,""))</f>
        <v/>
      </c>
      <c r="L31" s="0" t="str">
        <f aca="false">IFERROR(IF(AND(H30="",H31=""),"",IF(H31="TP1",1,IF(H31="TP3",15,IF(AND(A31="",L30=15),"",IF(H30="CAB",L30,L30+1))))),"")</f>
        <v/>
      </c>
      <c r="M31" s="0" t="str">
        <f aca="false">IF(A31="","",IF(H31="TP1","1"&amp;"_"&amp;C31,IF(H31="TP3","15"&amp;"_"&amp;C31,L31&amp;"_"&amp;D31)))</f>
        <v/>
      </c>
      <c r="N31" s="0" t="str">
        <f aca="false">E31&amp;IF(F31=1,"T","")</f>
        <v/>
      </c>
      <c r="O31" s="0" t="str">
        <f aca="false">IFERROR(((IF(L31=1,0,IF(L31=15,VARIÁVEIS!$B$34,((MID(C31,1,(SEARCH(".",C31,1)-1))&amp;","&amp;MID(C31,(SEARCH(".",C31,1)+1),1))&amp;"0")*1)))*1),"")</f>
        <v/>
      </c>
      <c r="P31" s="0" t="str">
        <f aca="false">(IFERROR(D31/32,""))</f>
        <v/>
      </c>
    </row>
    <row r="32" customFormat="false" ht="12.75" hidden="false" customHeight="false" outlineLevel="0" collapsed="false">
      <c r="A32" s="0" t="str">
        <f aca="false">IF('Leitura .bpp --&gt; .csv'!F76="","",'Leitura .bpp --&gt; .csv'!F76)</f>
        <v/>
      </c>
      <c r="B32" s="0" t="str">
        <f aca="false">IF('Leitura .bpp --&gt; .csv'!G76="","",'Leitura .bpp --&gt; .csv'!G76)</f>
        <v/>
      </c>
      <c r="C32" s="0" t="n">
        <v>700</v>
      </c>
      <c r="D32" s="0" t="str">
        <f aca="false">IF('Leitura .bpp --&gt; .csv'!I76="","",'Leitura .bpp --&gt; .csv'!I76)</f>
        <v/>
      </c>
      <c r="E32" s="0" t="str">
        <f aca="false">IF('Leitura .bpp --&gt; .csv'!L76="","",'Leitura .bpp --&gt; .csv'!L76)</f>
        <v/>
      </c>
      <c r="F32" s="0" t="str">
        <f aca="false">IF('Leitura .bpp --&gt; .csv'!M76="","",'Leitura .bpp --&gt; .csv'!M76)</f>
        <v/>
      </c>
      <c r="G32" s="0" t="str">
        <f aca="false">IF('Leitura .bpp --&gt; .csv'!K76="","",'Leitura .bpp --&gt; .csv'!K76)</f>
        <v/>
      </c>
      <c r="H32" s="0" t="n">
        <f aca="false">IF(A32="",1,IF(A32=" 0 : 1","TP1",IF(A32=" 0 : 3","TP3","CAB")))</f>
        <v>1</v>
      </c>
      <c r="I32" s="0" t="str">
        <f aca="false">IF(A32="","",IF(C33=C32,1,""))</f>
        <v/>
      </c>
      <c r="J32" s="0" t="str">
        <f aca="false">IF(A32="","",IF(C32=C31,1,""))</f>
        <v/>
      </c>
      <c r="K32" s="0" t="str">
        <f aca="false">IF(I32=1,1,IF(J32=1,1,""))</f>
        <v/>
      </c>
      <c r="L32" s="0" t="str">
        <f aca="false">IFERROR(IF(AND(H31="",H32=""),"",IF(H32="TP1",1,IF(H32="TP3",15,IF(AND(A32="",L31=15),"",IF(H31="CAB",L31,L31+1))))),"")</f>
        <v/>
      </c>
      <c r="M32" s="0" t="str">
        <f aca="false">IF(A32="","",IF(H32="TP1","1"&amp;"_"&amp;C32,IF(H32="TP3","15"&amp;"_"&amp;C32,L32&amp;"_"&amp;D32)))</f>
        <v/>
      </c>
      <c r="N32" s="0" t="str">
        <f aca="false">E31&amp;IF(F32=1,"T","")</f>
        <v/>
      </c>
      <c r="O32" s="0" t="str">
        <f aca="false">IFERROR(((IF(L32=1,0,IF(L32=15,VARIÁVEIS!$B$34,((MID(C32,1,(SEARCH(".",C32,1)-1))&amp;","&amp;MID(C32,(SEARCH(".",C32,1)+1),1))&amp;"0")*1)))*1),"")</f>
        <v/>
      </c>
      <c r="P32" s="0" t="str">
        <f aca="false">(IFERROR(D32/32,""))</f>
        <v/>
      </c>
    </row>
    <row r="33" customFormat="false" ht="12.75" hidden="false" customHeight="false" outlineLevel="0" collapsed="false">
      <c r="A33" s="0" t="str">
        <f aca="false">IF('Leitura .bpp --&gt; .csv'!F77="","",'Leitura .bpp --&gt; .csv'!F77)</f>
        <v/>
      </c>
      <c r="B33" s="0" t="str">
        <f aca="false">IF('Leitura .bpp --&gt; .csv'!G77="","",'Leitura .bpp --&gt; .csv'!G77)</f>
        <v/>
      </c>
      <c r="C33" s="0" t="n">
        <v>785</v>
      </c>
      <c r="D33" s="0" t="str">
        <f aca="false">IF('Leitura .bpp --&gt; .csv'!I77="","",'Leitura .bpp --&gt; .csv'!I77)</f>
        <v/>
      </c>
      <c r="E33" s="0" t="str">
        <f aca="false">IF('Leitura .bpp --&gt; .csv'!L77="","",'Leitura .bpp --&gt; .csv'!L77)</f>
        <v/>
      </c>
      <c r="F33" s="0" t="str">
        <f aca="false">IF('Leitura .bpp --&gt; .csv'!M77="","",'Leitura .bpp --&gt; .csv'!M77)</f>
        <v/>
      </c>
      <c r="G33" s="0" t="str">
        <f aca="false">IF('Leitura .bpp --&gt; .csv'!K77="","",'Leitura .bpp --&gt; .csv'!K77)</f>
        <v/>
      </c>
      <c r="H33" s="0" t="n">
        <f aca="false">IF(A33="",1,IF(A33=" 0 : 1","TP1",IF(A33=" 0 : 3","TP3","CAB")))</f>
        <v>1</v>
      </c>
      <c r="I33" s="0" t="str">
        <f aca="false">IF(A33="","",IF(C34=C33,1,""))</f>
        <v/>
      </c>
      <c r="J33" s="0" t="str">
        <f aca="false">IF(A33="","",IF(C33=C32,1,""))</f>
        <v/>
      </c>
      <c r="K33" s="0" t="str">
        <f aca="false">IF(I33=1,1,IF(J33=1,1,""))</f>
        <v/>
      </c>
      <c r="L33" s="0" t="str">
        <f aca="false">IFERROR(IF(AND(H32="",H33=""),"",IF(H33="TP1",1,IF(H33="TP3",15,IF(AND(A33="",L32=15),"",IF(H32="CAB",L32,L32+1))))),"")</f>
        <v/>
      </c>
      <c r="M33" s="0" t="str">
        <f aca="false">IF(A33="","",IF(H33="TP1","1"&amp;"_"&amp;C33,IF(H33="TP3","15"&amp;"_"&amp;C33,L33&amp;"_"&amp;D33)))</f>
        <v/>
      </c>
      <c r="N33" s="0" t="str">
        <f aca="false">E32&amp;IF(F33=1,"T","")</f>
        <v/>
      </c>
      <c r="O33" s="0" t="str">
        <f aca="false">IFERROR(((IF(L33=1,0,IF(L33=15,VARIÁVEIS!$B$34,((MID(C33,1,(SEARCH(".",C33,1)-1))&amp;","&amp;MID(C33,(SEARCH(".",C33,1)+1),1))&amp;"0")*1)))*1),"")</f>
        <v/>
      </c>
      <c r="P33" s="0" t="str">
        <f aca="false">(IFERROR(D33/32,""))</f>
        <v/>
      </c>
    </row>
    <row r="34" customFormat="false" ht="12.75" hidden="false" customHeight="false" outlineLevel="0" collapsed="false">
      <c r="A34" s="0" t="str">
        <f aca="false">IF('Leitura .bpp --&gt; .csv'!F78="","",'Leitura .bpp --&gt; .csv'!F78)</f>
        <v/>
      </c>
      <c r="B34" s="0" t="str">
        <f aca="false">IF('Leitura .bpp --&gt; .csv'!G78="","",'Leitura .bpp --&gt; .csv'!G78)</f>
        <v/>
      </c>
      <c r="C34" s="0" t="str">
        <f aca="false">IF('Leitura .bpp --&gt; .csv'!H78="","",'Leitura .bpp --&gt; .csv'!H78)</f>
        <v/>
      </c>
      <c r="D34" s="0" t="str">
        <f aca="false">IF('Leitura .bpp --&gt; .csv'!I78="","",'Leitura .bpp --&gt; .csv'!I78)</f>
        <v/>
      </c>
      <c r="E34" s="0" t="str">
        <f aca="false">IF('Leitura .bpp --&gt; .csv'!L78="","",'Leitura .bpp --&gt; .csv'!L78)</f>
        <v/>
      </c>
      <c r="F34" s="0" t="str">
        <f aca="false">IF('Leitura .bpp --&gt; .csv'!M78="","",'Leitura .bpp --&gt; .csv'!M78)</f>
        <v/>
      </c>
      <c r="G34" s="0" t="str">
        <f aca="false">IF('Leitura .bpp --&gt; .csv'!K78="","",'Leitura .bpp --&gt; .csv'!K78)</f>
        <v/>
      </c>
      <c r="H34" s="0" t="n">
        <f aca="false">IF(A34="",1,IF(A34=" 0 : 1","TP1",IF(A34=" 0 : 3","TP3","CAB")))</f>
        <v>1</v>
      </c>
      <c r="I34" s="0" t="str">
        <f aca="false">IF(A34="","",IF(C35=C34,1,""))</f>
        <v/>
      </c>
      <c r="J34" s="0" t="str">
        <f aca="false">IF(A34="","",IF(C34=C33,1,""))</f>
        <v/>
      </c>
      <c r="K34" s="0" t="str">
        <f aca="false">IF(I34=1,1,IF(J34=1,1,""))</f>
        <v/>
      </c>
      <c r="L34" s="0" t="str">
        <f aca="false">IFERROR(IF(AND(H33="",H34=""),"",IF(H34="TP1",1,IF(H34="TP3",15,IF(AND(A34="",L33=15),"",IF(H33="CAB",L33,L33+1))))),"")</f>
        <v/>
      </c>
      <c r="M34" s="0" t="str">
        <f aca="false">IF(A34="","",IF(H34="TP1","1"&amp;"_"&amp;C34,IF(H34="TP3","15"&amp;"_"&amp;C34,L34&amp;"_"&amp;D34)))</f>
        <v/>
      </c>
      <c r="N34" s="0" t="str">
        <f aca="false">E33&amp;IF(F34=1,"T","")</f>
        <v/>
      </c>
      <c r="O34" s="0" t="str">
        <f aca="false">IFERROR(((IF(L34=1,0,IF(L34=15,VARIÁVEIS!$B$34,((MID(C34,1,(SEARCH(".",C34,1)-1))&amp;","&amp;MID(C34,(SEARCH(".",C34,1)+1),1))&amp;"0")*1)))*1),"")</f>
        <v/>
      </c>
      <c r="P34" s="0" t="str">
        <f aca="false">(IFERROR(D34/32,""))</f>
        <v/>
      </c>
    </row>
    <row r="35" customFormat="false" ht="12.75" hidden="false" customHeight="false" outlineLevel="0" collapsed="false">
      <c r="A35" s="0" t="str">
        <f aca="false">IF('Leitura .bpp --&gt; .csv'!F79="","",'Leitura .bpp --&gt; .csv'!F79)</f>
        <v/>
      </c>
      <c r="B35" s="0" t="str">
        <f aca="false">IF('Leitura .bpp --&gt; .csv'!G79="","",'Leitura .bpp --&gt; .csv'!G79)</f>
        <v/>
      </c>
      <c r="C35" s="0" t="str">
        <f aca="false">IF('Leitura .bpp --&gt; .csv'!H79="","",'Leitura .bpp --&gt; .csv'!H79)</f>
        <v/>
      </c>
      <c r="D35" s="0" t="str">
        <f aca="false">IF('Leitura .bpp --&gt; .csv'!I79="","",'Leitura .bpp --&gt; .csv'!I79)</f>
        <v/>
      </c>
      <c r="E35" s="0" t="str">
        <f aca="false">IF('Leitura .bpp --&gt; .csv'!L79="","",'Leitura .bpp --&gt; .csv'!L79)</f>
        <v/>
      </c>
      <c r="F35" s="0" t="str">
        <f aca="false">IF('Leitura .bpp --&gt; .csv'!M79="","",'Leitura .bpp --&gt; .csv'!M79)</f>
        <v/>
      </c>
      <c r="G35" s="0" t="str">
        <f aca="false">IF('Leitura .bpp --&gt; .csv'!K79="","",'Leitura .bpp --&gt; .csv'!K79)</f>
        <v/>
      </c>
      <c r="H35" s="0" t="n">
        <f aca="false">IF(A35="",1,IF(A35=" 0 : 1","TP1",IF(A35=" 0 : 3","TP3","CAB")))</f>
        <v>1</v>
      </c>
      <c r="I35" s="0" t="str">
        <f aca="false">IF(A35="","",IF(C36=C35,1,""))</f>
        <v/>
      </c>
      <c r="J35" s="0" t="str">
        <f aca="false">IF(A35="","",IF(C35=C34,1,""))</f>
        <v/>
      </c>
      <c r="K35" s="0" t="str">
        <f aca="false">IF(I35=1,1,IF(J35=1,1,""))</f>
        <v/>
      </c>
      <c r="L35" s="0" t="str">
        <f aca="false">IFERROR(IF(AND(H34="",H35=""),"",IF(H35="TP1",1,IF(H35="TP3",15,IF(AND(A35="",L34=15),"",IF(H34="CAB",L34,L34+1))))),"")</f>
        <v/>
      </c>
      <c r="M35" s="0" t="str">
        <f aca="false">IF(A35="","",IF(H35="TP1","1"&amp;"_"&amp;C35,IF(H35="TP3","15"&amp;"_"&amp;C35,L35&amp;"_"&amp;D35)))</f>
        <v/>
      </c>
      <c r="N35" s="0" t="str">
        <f aca="false">E34&amp;IF(F35=1,"T","")</f>
        <v/>
      </c>
      <c r="O35" s="0" t="str">
        <f aca="false">IFERROR(((IF(L35=1,0,IF(L35=15,VARIÁVEIS!$B$34,((MID(C35,1,(SEARCH(".",C35,1)-1))&amp;","&amp;MID(C35,(SEARCH(".",C35,1)+1),1))&amp;"0")*1)))*1),"")</f>
        <v/>
      </c>
      <c r="P35" s="0" t="str">
        <f aca="false">(IFERROR(D35/32,""))</f>
        <v/>
      </c>
    </row>
    <row r="36" customFormat="false" ht="12.75" hidden="false" customHeight="false" outlineLevel="0" collapsed="false">
      <c r="A36" s="0" t="str">
        <f aca="false">IF('Leitura .bpp --&gt; .csv'!F80="","",'Leitura .bpp --&gt; .csv'!F80)</f>
        <v/>
      </c>
      <c r="B36" s="0" t="str">
        <f aca="false">IF('Leitura .bpp --&gt; .csv'!G80="","",'Leitura .bpp --&gt; .csv'!G80)</f>
        <v/>
      </c>
      <c r="C36" s="0" t="str">
        <f aca="false">IF('Leitura .bpp --&gt; .csv'!H80="","",'Leitura .bpp --&gt; .csv'!H80)</f>
        <v/>
      </c>
      <c r="D36" s="0" t="str">
        <f aca="false">IF('Leitura .bpp --&gt; .csv'!I80="","",'Leitura .bpp --&gt; .csv'!I80)</f>
        <v/>
      </c>
      <c r="E36" s="0" t="str">
        <f aca="false">IF('Leitura .bpp --&gt; .csv'!L80="","",'Leitura .bpp --&gt; .csv'!L80)</f>
        <v/>
      </c>
      <c r="F36" s="0" t="str">
        <f aca="false">IF('Leitura .bpp --&gt; .csv'!M80="","",'Leitura .bpp --&gt; .csv'!M80)</f>
        <v/>
      </c>
      <c r="G36" s="0" t="str">
        <f aca="false">IF('Leitura .bpp --&gt; .csv'!K80="","",'Leitura .bpp --&gt; .csv'!K80)</f>
        <v/>
      </c>
      <c r="H36" s="0" t="n">
        <f aca="false">IF(A36="",1,IF(A36=" 0 : 1","TP1",IF(A36=" 0 : 3","TP3","CAB")))</f>
        <v>1</v>
      </c>
      <c r="I36" s="0" t="str">
        <f aca="false">IF(A36="","",IF(C37=C36,1,""))</f>
        <v/>
      </c>
      <c r="J36" s="0" t="str">
        <f aca="false">IF(A36="","",IF(C36=C35,1,""))</f>
        <v/>
      </c>
      <c r="K36" s="0" t="str">
        <f aca="false">IF(I36=1,1,IF(J36=1,1,""))</f>
        <v/>
      </c>
      <c r="L36" s="0" t="str">
        <f aca="false">IFERROR(IF(AND(H35="",H36=""),"",IF(H36="TP1",1,IF(H36="TP3",15,IF(AND(A36="",L35=15),"",IF(H35="CAB",L35,L35+1))))),"")</f>
        <v/>
      </c>
      <c r="M36" s="0" t="str">
        <f aca="false">IF(A36="","",IF(H36="TP1","1"&amp;"_"&amp;C36,IF(H36="TP3","15"&amp;"_"&amp;C36,L36&amp;"_"&amp;D36)))</f>
        <v/>
      </c>
      <c r="N36" s="0" t="str">
        <f aca="false">E35&amp;IF(F36=1,"T","")</f>
        <v/>
      </c>
      <c r="O36" s="0" t="str">
        <f aca="false">IFERROR(((IF(L36=1,0,IF(L36=15,VARIÁVEIS!$B$34,((MID(C36,1,(SEARCH(".",C36,1)-1))&amp;","&amp;MID(C36,(SEARCH(".",C36,1)+1),1))&amp;"0")*1)))*1),"")</f>
        <v/>
      </c>
      <c r="P36" s="0" t="str">
        <f aca="false">(IFERROR(D36/32,""))</f>
        <v/>
      </c>
    </row>
    <row r="37" customFormat="false" ht="12.75" hidden="false" customHeight="false" outlineLevel="0" collapsed="false">
      <c r="A37" s="0" t="str">
        <f aca="false">IF('Leitura .bpp --&gt; .csv'!F81="","",'Leitura .bpp --&gt; .csv'!F81)</f>
        <v/>
      </c>
      <c r="B37" s="0" t="str">
        <f aca="false">IF('Leitura .bpp --&gt; .csv'!G81="","",'Leitura .bpp --&gt; .csv'!G81)</f>
        <v/>
      </c>
      <c r="C37" s="0" t="str">
        <f aca="false">IF('Leitura .bpp --&gt; .csv'!H81="","",'Leitura .bpp --&gt; .csv'!H81)</f>
        <v/>
      </c>
      <c r="D37" s="0" t="str">
        <f aca="false">IF('Leitura .bpp --&gt; .csv'!I81="","",'Leitura .bpp --&gt; .csv'!I81)</f>
        <v/>
      </c>
      <c r="E37" s="0" t="str">
        <f aca="false">IF('Leitura .bpp --&gt; .csv'!L81="","",'Leitura .bpp --&gt; .csv'!L81)</f>
        <v/>
      </c>
      <c r="F37" s="0" t="str">
        <f aca="false">IF('Leitura .bpp --&gt; .csv'!M81="","",'Leitura .bpp --&gt; .csv'!M81)</f>
        <v/>
      </c>
      <c r="G37" s="0" t="str">
        <f aca="false">IF('Leitura .bpp --&gt; .csv'!K81="","",'Leitura .bpp --&gt; .csv'!K81)</f>
        <v/>
      </c>
      <c r="H37" s="0" t="n">
        <f aca="false">IF(A37="",1,IF(A37=" 0 : 1","TP1",IF(A37=" 0 : 3","TP3","CAB")))</f>
        <v>1</v>
      </c>
      <c r="I37" s="0" t="str">
        <f aca="false">IF(A37="","",IF(C38=C37,1,""))</f>
        <v/>
      </c>
      <c r="J37" s="0" t="str">
        <f aca="false">IF(A37="","",IF(C37=C36,1,""))</f>
        <v/>
      </c>
      <c r="K37" s="0" t="str">
        <f aca="false">IF(I37=1,1,IF(J37=1,1,""))</f>
        <v/>
      </c>
      <c r="L37" s="0" t="str">
        <f aca="false">IFERROR(IF(AND(H36="",H37=""),"",IF(H37="TP1",1,IF(H37="TP3",15,IF(AND(A37="",L36=15),"",IF(H36="CAB",L36,L36+1))))),"")</f>
        <v/>
      </c>
      <c r="M37" s="0" t="str">
        <f aca="false">IF(A37="","",IF(H37="TP1","1"&amp;"_"&amp;C37,IF(H37="TP3","15"&amp;"_"&amp;C37,L37&amp;"_"&amp;D37)))</f>
        <v/>
      </c>
      <c r="N37" s="0" t="str">
        <f aca="false">E36&amp;IF(F37=1,"T","")</f>
        <v/>
      </c>
      <c r="O37" s="0" t="str">
        <f aca="false">IFERROR(((IF(L37=1,0,IF(L37=15,VARIÁVEIS!$B$34,((MID(C37,1,(SEARCH(".",C37,1)-1))&amp;","&amp;MID(C37,(SEARCH(".",C37,1)+1),1))&amp;"0")*1)))*1),"")</f>
        <v/>
      </c>
      <c r="P37" s="0" t="str">
        <f aca="false">(IFERROR(D37/32,""))</f>
        <v/>
      </c>
    </row>
    <row r="38" customFormat="false" ht="12.75" hidden="false" customHeight="false" outlineLevel="0" collapsed="false">
      <c r="A38" s="0" t="str">
        <f aca="false">IF('Leitura .bpp --&gt; .csv'!F82="","",'Leitura .bpp --&gt; .csv'!F82)</f>
        <v/>
      </c>
      <c r="B38" s="0" t="str">
        <f aca="false">IF('Leitura .bpp --&gt; .csv'!G82="","",'Leitura .bpp --&gt; .csv'!G82)</f>
        <v/>
      </c>
      <c r="C38" s="0" t="str">
        <f aca="false">IF('Leitura .bpp --&gt; .csv'!H82="","",'Leitura .bpp --&gt; .csv'!H82)</f>
        <v/>
      </c>
      <c r="D38" s="0" t="str">
        <f aca="false">IF('Leitura .bpp --&gt; .csv'!I82="","",'Leitura .bpp --&gt; .csv'!I82)</f>
        <v/>
      </c>
      <c r="E38" s="0" t="str">
        <f aca="false">IF('Leitura .bpp --&gt; .csv'!L82="","",'Leitura .bpp --&gt; .csv'!L82)</f>
        <v/>
      </c>
      <c r="F38" s="0" t="str">
        <f aca="false">IF('Leitura .bpp --&gt; .csv'!M82="","",'Leitura .bpp --&gt; .csv'!M82)</f>
        <v/>
      </c>
      <c r="G38" s="0" t="str">
        <f aca="false">IF('Leitura .bpp --&gt; .csv'!K82="","",'Leitura .bpp --&gt; .csv'!K82)</f>
        <v/>
      </c>
      <c r="H38" s="0" t="n">
        <f aca="false">IF(A38="",1,IF(A38=" 0 : 1","TP1",IF(A38=" 0 : 3","TP3","CAB")))</f>
        <v>1</v>
      </c>
      <c r="I38" s="0" t="str">
        <f aca="false">IF(A38="","",IF(C39=C38,1,""))</f>
        <v/>
      </c>
      <c r="J38" s="0" t="str">
        <f aca="false">IF(A38="","",IF(C38=C37,1,""))</f>
        <v/>
      </c>
      <c r="K38" s="0" t="str">
        <f aca="false">IF(I38=1,1,IF(J38=1,1,""))</f>
        <v/>
      </c>
      <c r="L38" s="0" t="str">
        <f aca="false">IFERROR(IF(AND(H37="",H38=""),"",IF(H38="TP1",1,IF(H38="TP3",15,IF(AND(A38="",L37=15),"",IF(H37="CAB",L37,L37+1))))),"")</f>
        <v/>
      </c>
      <c r="M38" s="0" t="str">
        <f aca="false">IF(A38="","",IF(H38="TP1","1"&amp;"_"&amp;C38,IF(H38="TP3","15"&amp;"_"&amp;C38,L38&amp;"_"&amp;D38)))</f>
        <v/>
      </c>
      <c r="N38" s="0" t="str">
        <f aca="false">E37&amp;IF(F38=1,"T","")</f>
        <v/>
      </c>
      <c r="O38" s="0" t="str">
        <f aca="false">IFERROR(((IF(L38=1,0,IF(L38=15,VARIÁVEIS!$B$34,((MID(C38,1,(SEARCH(".",C38,1)-1))&amp;","&amp;MID(C38,(SEARCH(".",C38,1)+1),1))&amp;"0")*1)))*1),"")</f>
        <v/>
      </c>
      <c r="P38" s="0" t="str">
        <f aca="false">(IFERROR(D38/32,""))</f>
        <v/>
      </c>
    </row>
    <row r="39" customFormat="false" ht="12.75" hidden="false" customHeight="false" outlineLevel="0" collapsed="false">
      <c r="A39" s="0" t="str">
        <f aca="false">IF('Leitura .bpp --&gt; .csv'!F83="","",'Leitura .bpp --&gt; .csv'!F83)</f>
        <v/>
      </c>
      <c r="B39" s="0" t="str">
        <f aca="false">IF('Leitura .bpp --&gt; .csv'!G83="","",'Leitura .bpp --&gt; .csv'!G83)</f>
        <v/>
      </c>
      <c r="C39" s="0" t="str">
        <f aca="false">IF('Leitura .bpp --&gt; .csv'!H83="","",'Leitura .bpp --&gt; .csv'!H83)</f>
        <v/>
      </c>
      <c r="D39" s="0" t="str">
        <f aca="false">IF('Leitura .bpp --&gt; .csv'!I83="","",'Leitura .bpp --&gt; .csv'!I83)</f>
        <v/>
      </c>
      <c r="E39" s="0" t="str">
        <f aca="false">IF('Leitura .bpp --&gt; .csv'!L83="","",'Leitura .bpp --&gt; .csv'!L83)</f>
        <v/>
      </c>
      <c r="F39" s="0" t="str">
        <f aca="false">IF('Leitura .bpp --&gt; .csv'!M83="","",'Leitura .bpp --&gt; .csv'!M83)</f>
        <v/>
      </c>
      <c r="G39" s="0" t="str">
        <f aca="false">IF('Leitura .bpp --&gt; .csv'!K83="","",'Leitura .bpp --&gt; .csv'!K83)</f>
        <v/>
      </c>
      <c r="H39" s="0" t="n">
        <f aca="false">IF(A39="",1,IF(A39=" 0 : 1","TP1",IF(A39=" 0 : 3","TP3","CAB")))</f>
        <v>1</v>
      </c>
      <c r="I39" s="0" t="str">
        <f aca="false">IF(A39="","",IF(C40=C39,1,""))</f>
        <v/>
      </c>
      <c r="J39" s="0" t="str">
        <f aca="false">IF(A39="","",IF(C39=C38,1,""))</f>
        <v/>
      </c>
      <c r="K39" s="0" t="str">
        <f aca="false">IF(I39=1,1,IF(J39=1,1,""))</f>
        <v/>
      </c>
      <c r="L39" s="0" t="str">
        <f aca="false">IFERROR(IF(AND(H38="",H39=""),"",IF(H39="TP1",1,IF(H39="TP3",15,IF(AND(A39="",L38=15),"",IF(H38="CAB",L38,L38+1))))),"")</f>
        <v/>
      </c>
      <c r="M39" s="0" t="str">
        <f aca="false">IF(A39="","",IF(H39="TP1","1"&amp;"_"&amp;C39,IF(H39="TP3","15"&amp;"_"&amp;C39,L39&amp;"_"&amp;D39)))</f>
        <v/>
      </c>
      <c r="N39" s="0" t="str">
        <f aca="false">E38&amp;IF(F39=1,"T","")</f>
        <v/>
      </c>
      <c r="O39" s="0" t="str">
        <f aca="false">IFERROR(((IF(L39=1,0,IF(L39=15,VARIÁVEIS!$B$34,((MID(C39,1,(SEARCH(".",C39,1)-1))&amp;","&amp;MID(C39,(SEARCH(".",C39,1)+1),1))&amp;"0")*1)))*1),"")</f>
        <v/>
      </c>
      <c r="P39" s="0" t="str">
        <f aca="false">(IFERROR(D39/32,""))</f>
        <v/>
      </c>
    </row>
    <row r="40" customFormat="false" ht="12.75" hidden="false" customHeight="false" outlineLevel="0" collapsed="false">
      <c r="A40" s="0" t="str">
        <f aca="false">IF('Leitura .bpp --&gt; .csv'!F84="","",'Leitura .bpp --&gt; .csv'!F84)</f>
        <v/>
      </c>
      <c r="B40" s="0" t="str">
        <f aca="false">IF('Leitura .bpp --&gt; .csv'!G84="","",'Leitura .bpp --&gt; .csv'!G84)</f>
        <v/>
      </c>
      <c r="C40" s="0" t="str">
        <f aca="false">IF('Leitura .bpp --&gt; .csv'!H84="","",'Leitura .bpp --&gt; .csv'!H84)</f>
        <v/>
      </c>
      <c r="D40" s="0" t="str">
        <f aca="false">IF('Leitura .bpp --&gt; .csv'!I84="","",'Leitura .bpp --&gt; .csv'!I84)</f>
        <v/>
      </c>
      <c r="E40" s="0" t="str">
        <f aca="false">IF('Leitura .bpp --&gt; .csv'!L84="","",'Leitura .bpp --&gt; .csv'!L84)</f>
        <v/>
      </c>
      <c r="F40" s="0" t="str">
        <f aca="false">IF('Leitura .bpp --&gt; .csv'!M84="","",'Leitura .bpp --&gt; .csv'!M84)</f>
        <v/>
      </c>
      <c r="G40" s="0" t="str">
        <f aca="false">IF('Leitura .bpp --&gt; .csv'!K84="","",'Leitura .bpp --&gt; .csv'!K84)</f>
        <v/>
      </c>
      <c r="H40" s="0" t="n">
        <f aca="false">IF(A40="",1,IF(A40=" 0 : 1","TP1",IF(A40=" 0 : 3","TP3","CAB")))</f>
        <v>1</v>
      </c>
      <c r="I40" s="0" t="str">
        <f aca="false">IF(A40="","",IF(C41=C40,1,""))</f>
        <v/>
      </c>
      <c r="J40" s="0" t="str">
        <f aca="false">IF(A40="","",IF(C40=C39,1,""))</f>
        <v/>
      </c>
      <c r="K40" s="0" t="str">
        <f aca="false">IF(I40=1,1,IF(J40=1,1,""))</f>
        <v/>
      </c>
      <c r="L40" s="0" t="str">
        <f aca="false">IFERROR(IF(AND(H39="",H40=""),"",IF(H40="TP1",1,IF(H40="TP3",15,IF(AND(A40="",L39=15),"",IF(H39="CAB",L39,L39+1))))),"")</f>
        <v/>
      </c>
      <c r="M40" s="0" t="str">
        <f aca="false">IF(A40="","",IF(H40="TP1","1"&amp;"_"&amp;C40,IF(H40="TP3","15"&amp;"_"&amp;C40,L40&amp;"_"&amp;D40)))</f>
        <v/>
      </c>
      <c r="N40" s="0" t="str">
        <f aca="false">E39&amp;IF(F40=1,"T","")</f>
        <v/>
      </c>
      <c r="O40" s="0" t="str">
        <f aca="false">IFERROR(((IF(L40=1,0,IF(L40=15,VARIÁVEIS!$B$34,((MID(C40,1,(SEARCH(".",C40,1)-1))&amp;","&amp;MID(C40,(SEARCH(".",C40,1)+1),1))&amp;"0")*1)))*1),"")</f>
        <v/>
      </c>
      <c r="P40" s="0" t="str">
        <f aca="false">(IFERROR(D40/32,""))</f>
        <v/>
      </c>
    </row>
    <row r="41" customFormat="false" ht="12.75" hidden="false" customHeight="false" outlineLevel="0" collapsed="false">
      <c r="A41" s="0" t="str">
        <f aca="false">IF('Leitura .bpp --&gt; .csv'!F85="","",'Leitura .bpp --&gt; .csv'!F85)</f>
        <v/>
      </c>
      <c r="B41" s="0" t="str">
        <f aca="false">IF('Leitura .bpp --&gt; .csv'!G85="","",'Leitura .bpp --&gt; .csv'!G85)</f>
        <v/>
      </c>
      <c r="C41" s="0" t="str">
        <f aca="false">IF('Leitura .bpp --&gt; .csv'!H85="","",'Leitura .bpp --&gt; .csv'!H85)</f>
        <v/>
      </c>
      <c r="D41" s="0" t="str">
        <f aca="false">IF('Leitura .bpp --&gt; .csv'!I85="","",'Leitura .bpp --&gt; .csv'!I85)</f>
        <v/>
      </c>
      <c r="E41" s="0" t="str">
        <f aca="false">IF('Leitura .bpp --&gt; .csv'!L85="","",'Leitura .bpp --&gt; .csv'!L85)</f>
        <v/>
      </c>
      <c r="F41" s="0" t="str">
        <f aca="false">IF('Leitura .bpp --&gt; .csv'!M85="","",'Leitura .bpp --&gt; .csv'!M85)</f>
        <v/>
      </c>
      <c r="G41" s="0" t="str">
        <f aca="false">IF('Leitura .bpp --&gt; .csv'!K85="","",'Leitura .bpp --&gt; .csv'!K85)</f>
        <v/>
      </c>
      <c r="H41" s="0" t="n">
        <f aca="false">IF(A41="",1,IF(A41=" 0 : 1","TP1",IF(A41=" 0 : 3","TP3","CAB")))</f>
        <v>1</v>
      </c>
      <c r="I41" s="0" t="str">
        <f aca="false">IF(A41="","",IF(C42=C41,1,""))</f>
        <v/>
      </c>
      <c r="J41" s="0" t="str">
        <f aca="false">IF(A41="","",IF(C41=C40,1,""))</f>
        <v/>
      </c>
      <c r="K41" s="0" t="str">
        <f aca="false">IF(I41=1,1,IF(J41=1,1,""))</f>
        <v/>
      </c>
      <c r="L41" s="0" t="str">
        <f aca="false">IFERROR(IF(AND(H40="",H41=""),"",IF(H41="TP1",1,IF(H41="TP3",15,IF(AND(A41="",L40=15),"",IF(H40="CAB",L40,L40+1))))),"")</f>
        <v/>
      </c>
      <c r="M41" s="0" t="str">
        <f aca="false">IF(A41="","",IF(H41="TP1","1"&amp;"_"&amp;C41,IF(H41="TP3","15"&amp;"_"&amp;C41,L41&amp;"_"&amp;D41)))</f>
        <v/>
      </c>
      <c r="N41" s="0" t="str">
        <f aca="false">E40&amp;IF(F41=1,"T","")</f>
        <v/>
      </c>
      <c r="O41" s="0" t="str">
        <f aca="false">IFERROR(((IF(L41=1,0,IF(L41=15,VARIÁVEIS!$B$34,((MID(C41,1,(SEARCH(".",C41,1)-1))&amp;","&amp;MID(C41,(SEARCH(".",C41,1)+1),1))&amp;"0")*1)))*1),"")</f>
        <v/>
      </c>
      <c r="P41" s="0" t="str">
        <f aca="false">(IFERROR(D41/32,""))</f>
        <v/>
      </c>
    </row>
    <row r="42" customFormat="false" ht="12.75" hidden="false" customHeight="false" outlineLevel="0" collapsed="false">
      <c r="A42" s="0" t="str">
        <f aca="false">IF('Leitura .bpp --&gt; .csv'!F86="","",'Leitura .bpp --&gt; .csv'!F86)</f>
        <v/>
      </c>
      <c r="B42" s="0" t="str">
        <f aca="false">IF('Leitura .bpp --&gt; .csv'!G86="","",'Leitura .bpp --&gt; .csv'!G86)</f>
        <v/>
      </c>
      <c r="C42" s="0" t="str">
        <f aca="false">IF('Leitura .bpp --&gt; .csv'!H86="","",'Leitura .bpp --&gt; .csv'!H86)</f>
        <v/>
      </c>
      <c r="D42" s="0" t="str">
        <f aca="false">IF('Leitura .bpp --&gt; .csv'!I86="","",'Leitura .bpp --&gt; .csv'!I86)</f>
        <v/>
      </c>
      <c r="E42" s="0" t="str">
        <f aca="false">IF('Leitura .bpp --&gt; .csv'!L86="","",'Leitura .bpp --&gt; .csv'!L86)</f>
        <v/>
      </c>
      <c r="F42" s="0" t="str">
        <f aca="false">IF('Leitura .bpp --&gt; .csv'!M86="","",'Leitura .bpp --&gt; .csv'!M86)</f>
        <v/>
      </c>
      <c r="G42" s="0" t="str">
        <f aca="false">IF('Leitura .bpp --&gt; .csv'!K86="","",'Leitura .bpp --&gt; .csv'!K86)</f>
        <v/>
      </c>
      <c r="H42" s="0" t="n">
        <f aca="false">IF(A42="",1,IF(A42=" 0 : 1","TP1",IF(A42=" 0 : 3","TP3","CAB")))</f>
        <v>1</v>
      </c>
      <c r="I42" s="0" t="str">
        <f aca="false">IF(A42="","",IF(C43=C42,1,""))</f>
        <v/>
      </c>
      <c r="J42" s="0" t="str">
        <f aca="false">IF(A42="","",IF(C42=C41,1,""))</f>
        <v/>
      </c>
      <c r="K42" s="0" t="str">
        <f aca="false">IF(I42=1,1,IF(J42=1,1,""))</f>
        <v/>
      </c>
      <c r="L42" s="0" t="str">
        <f aca="false">IFERROR(IF(AND(H41="",H42=""),"",IF(H42="TP1",1,IF(H42="TP3",15,IF(AND(A42="",L41=15),"",IF(H41="CAB",L41,L41+1))))),"")</f>
        <v/>
      </c>
      <c r="M42" s="0" t="str">
        <f aca="false">IF(A42="","",IF(H42="TP1","1"&amp;"_"&amp;C42,IF(H42="TP3","15"&amp;"_"&amp;C42,L42&amp;"_"&amp;D42)))</f>
        <v/>
      </c>
      <c r="N42" s="0" t="str">
        <f aca="false">E41&amp;IF(F42=1,"T","")</f>
        <v/>
      </c>
      <c r="O42" s="0" t="str">
        <f aca="false">IFERROR(((IF(L42=1,0,IF(L42=15,VARIÁVEIS!$B$34,((MID(C42,1,(SEARCH(".",C42,1)-1))&amp;","&amp;MID(C42,(SEARCH(".",C42,1)+1),1))&amp;"0")*1)))*1),"")</f>
        <v/>
      </c>
      <c r="P42" s="0" t="str">
        <f aca="false">(IFERROR(D42/32,""))</f>
        <v/>
      </c>
    </row>
    <row r="43" customFormat="false" ht="12.75" hidden="false" customHeight="false" outlineLevel="0" collapsed="false">
      <c r="A43" s="0" t="str">
        <f aca="false">IF('Leitura .bpp --&gt; .csv'!F87="","",'Leitura .bpp --&gt; .csv'!F87)</f>
        <v/>
      </c>
      <c r="B43" s="0" t="str">
        <f aca="false">IF('Leitura .bpp --&gt; .csv'!G87="","",'Leitura .bpp --&gt; .csv'!G87)</f>
        <v/>
      </c>
      <c r="C43" s="0" t="str">
        <f aca="false">IF('Leitura .bpp --&gt; .csv'!H87="","",'Leitura .bpp --&gt; .csv'!H87)</f>
        <v/>
      </c>
      <c r="D43" s="0" t="str">
        <f aca="false">IF('Leitura .bpp --&gt; .csv'!I87="","",'Leitura .bpp --&gt; .csv'!I87)</f>
        <v/>
      </c>
      <c r="E43" s="0" t="str">
        <f aca="false">IF('Leitura .bpp --&gt; .csv'!L87="","",'Leitura .bpp --&gt; .csv'!L87)</f>
        <v/>
      </c>
      <c r="F43" s="0" t="str">
        <f aca="false">IF('Leitura .bpp --&gt; .csv'!M87="","",'Leitura .bpp --&gt; .csv'!M87)</f>
        <v/>
      </c>
      <c r="G43" s="0" t="str">
        <f aca="false">IF('Leitura .bpp --&gt; .csv'!K87="","",'Leitura .bpp --&gt; .csv'!K87)</f>
        <v/>
      </c>
      <c r="H43" s="0" t="n">
        <f aca="false">IF(A43="",1,IF(A43=" 0 : 1","TP1",IF(A43=" 0 : 3","TP3","CAB")))</f>
        <v>1</v>
      </c>
      <c r="I43" s="0" t="str">
        <f aca="false">IF(A43="","",IF(C44=C43,1,""))</f>
        <v/>
      </c>
      <c r="J43" s="0" t="str">
        <f aca="false">IF(A43="","",IF(C43=C42,1,""))</f>
        <v/>
      </c>
      <c r="K43" s="0" t="str">
        <f aca="false">IF(I43=1,1,IF(J43=1,1,""))</f>
        <v/>
      </c>
      <c r="L43" s="0" t="str">
        <f aca="false">IFERROR(IF(AND(H42="",H43=""),"",IF(H43="TP1",1,IF(H43="TP3",15,IF(AND(A43="",L42=15),"",IF(H42="CAB",L42,L42+1))))),"")</f>
        <v/>
      </c>
      <c r="M43" s="0" t="str">
        <f aca="false">IF(A43="","",IF(H43="TP1","1"&amp;"_"&amp;C43,IF(H43="TP3","15"&amp;"_"&amp;C43,L43&amp;"_"&amp;D43)))</f>
        <v/>
      </c>
      <c r="N43" s="0" t="str">
        <f aca="false">E42&amp;IF(F43=1,"T","")</f>
        <v/>
      </c>
      <c r="O43" s="0" t="str">
        <f aca="false">IFERROR(((IF(L43=1,0,IF(L43=15,VARIÁVEIS!$B$34,((MID(C43,1,(SEARCH(".",C43,1)-1))&amp;","&amp;MID(C43,(SEARCH(".",C43,1)+1),1))&amp;"0")*1)))*1),"")</f>
        <v/>
      </c>
      <c r="P43" s="0" t="str">
        <f aca="false">(IFERROR(D43/32,""))</f>
        <v/>
      </c>
    </row>
    <row r="44" customFormat="false" ht="12.75" hidden="false" customHeight="false" outlineLevel="0" collapsed="false">
      <c r="A44" s="0" t="str">
        <f aca="false">IF('Leitura .bpp --&gt; .csv'!F88="","",'Leitura .bpp --&gt; .csv'!F88)</f>
        <v/>
      </c>
      <c r="B44" s="0" t="str">
        <f aca="false">IF('Leitura .bpp --&gt; .csv'!G88="","",'Leitura .bpp --&gt; .csv'!G88)</f>
        <v/>
      </c>
      <c r="C44" s="0" t="str">
        <f aca="false">IF('Leitura .bpp --&gt; .csv'!H88="","",'Leitura .bpp --&gt; .csv'!H88)</f>
        <v/>
      </c>
      <c r="D44" s="0" t="str">
        <f aca="false">IF('Leitura .bpp --&gt; .csv'!I88="","",'Leitura .bpp --&gt; .csv'!I88)</f>
        <v/>
      </c>
      <c r="E44" s="0" t="str">
        <f aca="false">IF('Leitura .bpp --&gt; .csv'!L88="","",'Leitura .bpp --&gt; .csv'!L88)</f>
        <v/>
      </c>
      <c r="F44" s="0" t="str">
        <f aca="false">IF('Leitura .bpp --&gt; .csv'!M88="","",'Leitura .bpp --&gt; .csv'!M88)</f>
        <v/>
      </c>
      <c r="G44" s="0" t="str">
        <f aca="false">IF('Leitura .bpp --&gt; .csv'!K88="","",'Leitura .bpp --&gt; .csv'!K88)</f>
        <v/>
      </c>
      <c r="H44" s="0" t="n">
        <f aca="false">IF(A44="",1,IF(A44=" 0 : 1","TP1",IF(A44=" 0 : 3","TP3","CAB")))</f>
        <v>1</v>
      </c>
      <c r="I44" s="0" t="str">
        <f aca="false">IF(A44="","",IF(C45=C44,1,""))</f>
        <v/>
      </c>
      <c r="J44" s="0" t="str">
        <f aca="false">IF(A44="","",IF(C44=C43,1,""))</f>
        <v/>
      </c>
      <c r="K44" s="0" t="str">
        <f aca="false">IF(I44=1,1,IF(J44=1,1,""))</f>
        <v/>
      </c>
      <c r="L44" s="0" t="str">
        <f aca="false">IFERROR(IF(AND(H43="",H44=""),"",IF(H44="TP1",1,IF(H44="TP3",15,IF(AND(A44="",L43=15),"",IF(H43="CAB",L43,L43+1))))),"")</f>
        <v/>
      </c>
      <c r="M44" s="0" t="str">
        <f aca="false">IF(A44="","",IF(H44="TP1","1"&amp;"_"&amp;C44,IF(H44="TP3","15"&amp;"_"&amp;C44,L44&amp;"_"&amp;D44)))</f>
        <v/>
      </c>
      <c r="N44" s="0" t="str">
        <f aca="false">E43&amp;IF(F44=1,"T","")</f>
        <v/>
      </c>
      <c r="O44" s="0" t="str">
        <f aca="false">IFERROR(((IF(L44=1,0,IF(L44=15,VARIÁVEIS!$B$34,((MID(C44,1,(SEARCH(".",C44,1)-1))&amp;","&amp;MID(C44,(SEARCH(".",C44,1)+1),1))&amp;"0")*1)))*1),"")</f>
        <v/>
      </c>
      <c r="P44" s="0" t="str">
        <f aca="false">(IFERROR(D44/32,""))</f>
        <v/>
      </c>
    </row>
    <row r="45" customFormat="false" ht="12.75" hidden="false" customHeight="false" outlineLevel="0" collapsed="false">
      <c r="A45" s="0" t="str">
        <f aca="false">IF('Leitura .bpp --&gt; .csv'!F89="","",'Leitura .bpp --&gt; .csv'!F89)</f>
        <v/>
      </c>
      <c r="B45" s="0" t="str">
        <f aca="false">IF('Leitura .bpp --&gt; .csv'!G89="","",'Leitura .bpp --&gt; .csv'!G89)</f>
        <v/>
      </c>
      <c r="C45" s="0" t="str">
        <f aca="false">IF('Leitura .bpp --&gt; .csv'!H89="","",'Leitura .bpp --&gt; .csv'!H89)</f>
        <v/>
      </c>
      <c r="D45" s="0" t="str">
        <f aca="false">IF('Leitura .bpp --&gt; .csv'!I89="","",'Leitura .bpp --&gt; .csv'!I89)</f>
        <v/>
      </c>
      <c r="E45" s="0" t="str">
        <f aca="false">IF('Leitura .bpp --&gt; .csv'!L89="","",'Leitura .bpp --&gt; .csv'!L89)</f>
        <v/>
      </c>
      <c r="F45" s="0" t="str">
        <f aca="false">IF('Leitura .bpp --&gt; .csv'!M89="","",'Leitura .bpp --&gt; .csv'!M89)</f>
        <v/>
      </c>
      <c r="G45" s="0" t="str">
        <f aca="false">IF('Leitura .bpp --&gt; .csv'!K89="","",'Leitura .bpp --&gt; .csv'!K89)</f>
        <v/>
      </c>
      <c r="H45" s="0" t="n">
        <f aca="false">IF(A45="",1,IF(A45=" 0 : 1","TP1",IF(A45=" 0 : 3","TP3","CAB")))</f>
        <v>1</v>
      </c>
      <c r="I45" s="0" t="str">
        <f aca="false">IF(A45="","",IF(C46=C45,1,""))</f>
        <v/>
      </c>
      <c r="J45" s="0" t="str">
        <f aca="false">IF(A45="","",IF(C45=C44,1,""))</f>
        <v/>
      </c>
      <c r="K45" s="0" t="str">
        <f aca="false">IF(I45=1,1,IF(J45=1,1,""))</f>
        <v/>
      </c>
      <c r="L45" s="0" t="str">
        <f aca="false">IFERROR(IF(AND(H44="",H45=""),"",IF(H45="TP1",1,IF(H45="TP3",15,IF(AND(A45="",L44=15),"",IF(H44="CAB",L44,L44+1))))),"")</f>
        <v/>
      </c>
      <c r="M45" s="0" t="str">
        <f aca="false">IF(A45="","",IF(H45="TP1","1"&amp;"_"&amp;C45,IF(H45="TP3","15"&amp;"_"&amp;C45,L45&amp;"_"&amp;D45)))</f>
        <v/>
      </c>
      <c r="N45" s="0" t="str">
        <f aca="false">E44&amp;IF(F45=1,"T","")</f>
        <v/>
      </c>
      <c r="O45" s="0" t="str">
        <f aca="false">IFERROR(((IF(L45=1,0,IF(L45=15,VARIÁVEIS!$B$34,((MID(C45,1,(SEARCH(".",C45,1)-1))&amp;","&amp;MID(C45,(SEARCH(".",C45,1)+1),1))&amp;"0")*1)))*1),"")</f>
        <v/>
      </c>
      <c r="P45" s="0" t="str">
        <f aca="false">(IFERROR(D45/32,""))</f>
        <v/>
      </c>
    </row>
    <row r="46" customFormat="false" ht="12.75" hidden="false" customHeight="false" outlineLevel="0" collapsed="false">
      <c r="A46" s="0" t="str">
        <f aca="false">IF('Leitura .bpp --&gt; .csv'!F90="","",'Leitura .bpp --&gt; .csv'!F90)</f>
        <v/>
      </c>
      <c r="B46" s="0" t="str">
        <f aca="false">IF('Leitura .bpp --&gt; .csv'!G90="","",'Leitura .bpp --&gt; .csv'!G90)</f>
        <v/>
      </c>
      <c r="C46" s="0" t="str">
        <f aca="false">IF('Leitura .bpp --&gt; .csv'!H90="","",'Leitura .bpp --&gt; .csv'!H90)</f>
        <v/>
      </c>
      <c r="D46" s="0" t="str">
        <f aca="false">IF('Leitura .bpp --&gt; .csv'!I90="","",'Leitura .bpp --&gt; .csv'!I90)</f>
        <v/>
      </c>
      <c r="E46" s="0" t="str">
        <f aca="false">IF('Leitura .bpp --&gt; .csv'!L90="","",'Leitura .bpp --&gt; .csv'!L90)</f>
        <v/>
      </c>
      <c r="F46" s="0" t="str">
        <f aca="false">IF('Leitura .bpp --&gt; .csv'!M90="","",'Leitura .bpp --&gt; .csv'!M90)</f>
        <v/>
      </c>
      <c r="G46" s="0" t="str">
        <f aca="false">IF('Leitura .bpp --&gt; .csv'!K90="","",'Leitura .bpp --&gt; .csv'!K90)</f>
        <v/>
      </c>
      <c r="H46" s="0" t="n">
        <f aca="false">IF(A46="",1,IF(A46=" 0 : 1","TP1",IF(A46=" 0 : 3","TP3","CAB")))</f>
        <v>1</v>
      </c>
      <c r="I46" s="0" t="str">
        <f aca="false">IF(A46="","",IF(C47=C46,1,""))</f>
        <v/>
      </c>
      <c r="J46" s="0" t="str">
        <f aca="false">IF(A46="","",IF(C46=C45,1,""))</f>
        <v/>
      </c>
      <c r="K46" s="0" t="str">
        <f aca="false">IF(I46=1,1,IF(J46=1,1,""))</f>
        <v/>
      </c>
      <c r="L46" s="0" t="str">
        <f aca="false">IFERROR(IF(AND(H45="",H46=""),"",IF(H46="TP1",1,IF(H46="TP3",15,IF(AND(A46="",L45=15),"",IF(H45="CAB",L45,L45+1))))),"")</f>
        <v/>
      </c>
      <c r="M46" s="0" t="str">
        <f aca="false">IF(A46="","",IF(H46="TP1","1"&amp;"_"&amp;C46,IF(H46="TP3","15"&amp;"_"&amp;C46,L46&amp;"_"&amp;D46)))</f>
        <v/>
      </c>
      <c r="N46" s="0" t="str">
        <f aca="false">E45&amp;IF(F46=1,"T","")</f>
        <v/>
      </c>
      <c r="O46" s="0" t="str">
        <f aca="false">IFERROR(((IF(L46=1,0,IF(L46=15,VARIÁVEIS!$B$34,((MID(C46,1,(SEARCH(".",C46,1)-1))&amp;","&amp;MID(C46,(SEARCH(".",C46,1)+1),1))&amp;"0")*1)))*1),"")</f>
        <v/>
      </c>
      <c r="P46" s="0" t="str">
        <f aca="false">(IFERROR(D46/32,""))</f>
        <v/>
      </c>
    </row>
    <row r="47" customFormat="false" ht="12.75" hidden="false" customHeight="false" outlineLevel="0" collapsed="false">
      <c r="A47" s="0" t="str">
        <f aca="false">IF('Leitura .bpp --&gt; .csv'!F91="","",'Leitura .bpp --&gt; .csv'!F91)</f>
        <v/>
      </c>
      <c r="B47" s="0" t="str">
        <f aca="false">IF('Leitura .bpp --&gt; .csv'!G91="","",'Leitura .bpp --&gt; .csv'!G91)</f>
        <v/>
      </c>
      <c r="C47" s="0" t="str">
        <f aca="false">IF('Leitura .bpp --&gt; .csv'!H91="","",'Leitura .bpp --&gt; .csv'!H91)</f>
        <v/>
      </c>
      <c r="D47" s="0" t="str">
        <f aca="false">IF('Leitura .bpp --&gt; .csv'!I91="","",'Leitura .bpp --&gt; .csv'!I91)</f>
        <v/>
      </c>
      <c r="E47" s="0" t="str">
        <f aca="false">IF('Leitura .bpp --&gt; .csv'!L91="","",'Leitura .bpp --&gt; .csv'!L91)</f>
        <v/>
      </c>
      <c r="F47" s="0" t="str">
        <f aca="false">IF('Leitura .bpp --&gt; .csv'!M91="","",'Leitura .bpp --&gt; .csv'!M91)</f>
        <v/>
      </c>
      <c r="G47" s="0" t="str">
        <f aca="false">IF('Leitura .bpp --&gt; .csv'!K91="","",'Leitura .bpp --&gt; .csv'!K91)</f>
        <v/>
      </c>
      <c r="H47" s="0" t="n">
        <f aca="false">IF(A47="",1,IF(A47=" 0 : 1","TP1",IF(A47=" 0 : 3","TP3","CAB")))</f>
        <v>1</v>
      </c>
      <c r="I47" s="0" t="str">
        <f aca="false">IF(A47="","",IF(C48=C47,1,""))</f>
        <v/>
      </c>
      <c r="J47" s="0" t="str">
        <f aca="false">IF(A47="","",IF(C47=C46,1,""))</f>
        <v/>
      </c>
      <c r="K47" s="0" t="str">
        <f aca="false">IF(I47=1,1,IF(J47=1,1,""))</f>
        <v/>
      </c>
      <c r="L47" s="0" t="str">
        <f aca="false">IFERROR(IF(AND(H46="",H47=""),"",IF(H47="TP1",1,IF(H47="TP3",15,IF(AND(A47="",L46=15),"",IF(H46="CAB",L46,L46+1))))),"")</f>
        <v/>
      </c>
      <c r="M47" s="0" t="str">
        <f aca="false">IF(A47="","",IF(H47="TP1","1"&amp;"_"&amp;C47,IF(H47="TP3","15"&amp;"_"&amp;C47,L47&amp;"_"&amp;D47)))</f>
        <v/>
      </c>
      <c r="N47" s="0" t="str">
        <f aca="false">E46&amp;IF(F47=1,"T","")</f>
        <v/>
      </c>
      <c r="O47" s="0" t="str">
        <f aca="false">IFERROR(((IF(L47=1,0,IF(L47=15,VARIÁVEIS!$B$34,((MID(C47,1,(SEARCH(".",C47,1)-1))&amp;","&amp;MID(C47,(SEARCH(".",C47,1)+1),1))&amp;"0")*1)))*1),"")</f>
        <v/>
      </c>
      <c r="P47" s="0" t="str">
        <f aca="false">(IFERROR(D47/32,""))</f>
        <v/>
      </c>
    </row>
    <row r="48" customFormat="false" ht="12.75" hidden="false" customHeight="false" outlineLevel="0" collapsed="false">
      <c r="A48" s="0" t="str">
        <f aca="false">IF('Leitura .bpp --&gt; .csv'!F92="","",'Leitura .bpp --&gt; .csv'!F92)</f>
        <v/>
      </c>
      <c r="B48" s="0" t="str">
        <f aca="false">IF('Leitura .bpp --&gt; .csv'!G92="","",'Leitura .bpp --&gt; .csv'!G92)</f>
        <v/>
      </c>
      <c r="C48" s="0" t="str">
        <f aca="false">IF('Leitura .bpp --&gt; .csv'!H92="","",'Leitura .bpp --&gt; .csv'!H92)</f>
        <v/>
      </c>
      <c r="D48" s="0" t="str">
        <f aca="false">IF('Leitura .bpp --&gt; .csv'!I92="","",'Leitura .bpp --&gt; .csv'!I92)</f>
        <v/>
      </c>
      <c r="E48" s="0" t="str">
        <f aca="false">IF('Leitura .bpp --&gt; .csv'!L92="","",'Leitura .bpp --&gt; .csv'!L92)</f>
        <v/>
      </c>
      <c r="F48" s="0" t="str">
        <f aca="false">IF('Leitura .bpp --&gt; .csv'!M92="","",'Leitura .bpp --&gt; .csv'!M92)</f>
        <v/>
      </c>
      <c r="G48" s="0" t="str">
        <f aca="false">IF('Leitura .bpp --&gt; .csv'!K92="","",'Leitura .bpp --&gt; .csv'!K92)</f>
        <v/>
      </c>
      <c r="H48" s="0" t="n">
        <f aca="false">IF(A48="",1,IF(A48=" 0 : 1","TP1",IF(A48=" 0 : 3","TP3","CAB")))</f>
        <v>1</v>
      </c>
      <c r="I48" s="0" t="str">
        <f aca="false">IF(A48="","",IF(C49=C48,1,""))</f>
        <v/>
      </c>
      <c r="J48" s="0" t="str">
        <f aca="false">IF(A48="","",IF(C48=C47,1,""))</f>
        <v/>
      </c>
      <c r="K48" s="0" t="str">
        <f aca="false">IF(I48=1,1,IF(J48=1,1,""))</f>
        <v/>
      </c>
      <c r="L48" s="0" t="str">
        <f aca="false">IFERROR(IF(AND(H47="",H48=""),"",IF(H48="TP1",1,IF(H48="TP3",15,IF(AND(A48="",L47=15),"",IF(H47="CAB",L47,L47+1))))),"")</f>
        <v/>
      </c>
      <c r="M48" s="0" t="str">
        <f aca="false">IF(A48="","",IF(H48="TP1","1"&amp;"_"&amp;C48,IF(H48="TP3","15"&amp;"_"&amp;C48,L48&amp;"_"&amp;D48)))</f>
        <v/>
      </c>
      <c r="N48" s="0" t="str">
        <f aca="false">E47&amp;IF(F48=1,"T","")</f>
        <v/>
      </c>
      <c r="O48" s="0" t="str">
        <f aca="false">IFERROR(((IF(L48=1,0,IF(L48=15,VARIÁVEIS!$B$34,((MID(C48,1,(SEARCH(".",C48,1)-1))&amp;","&amp;MID(C48,(SEARCH(".",C48,1)+1),1))&amp;"0")*1)))*1),"")</f>
        <v/>
      </c>
      <c r="P48" s="0" t="str">
        <f aca="false">(IFERROR(D48/32,""))</f>
        <v/>
      </c>
    </row>
    <row r="49" customFormat="false" ht="12.75" hidden="false" customHeight="false" outlineLevel="0" collapsed="false">
      <c r="A49" s="0" t="str">
        <f aca="false">IF('Leitura .bpp --&gt; .csv'!F93="","",'Leitura .bpp --&gt; .csv'!F93)</f>
        <v/>
      </c>
      <c r="B49" s="0" t="str">
        <f aca="false">IF('Leitura .bpp --&gt; .csv'!G93="","",'Leitura .bpp --&gt; .csv'!G93)</f>
        <v/>
      </c>
      <c r="C49" s="0" t="str">
        <f aca="false">IF('Leitura .bpp --&gt; .csv'!H93="","",'Leitura .bpp --&gt; .csv'!H93)</f>
        <v/>
      </c>
      <c r="D49" s="0" t="str">
        <f aca="false">IF('Leitura .bpp --&gt; .csv'!I93="","",'Leitura .bpp --&gt; .csv'!I93)</f>
        <v/>
      </c>
      <c r="E49" s="0" t="str">
        <f aca="false">IF('Leitura .bpp --&gt; .csv'!L93="","",'Leitura .bpp --&gt; .csv'!L93)</f>
        <v/>
      </c>
      <c r="F49" s="0" t="str">
        <f aca="false">IF('Leitura .bpp --&gt; .csv'!M93="","",'Leitura .bpp --&gt; .csv'!M93)</f>
        <v/>
      </c>
      <c r="G49" s="0" t="str">
        <f aca="false">IF('Leitura .bpp --&gt; .csv'!K93="","",'Leitura .bpp --&gt; .csv'!K93)</f>
        <v/>
      </c>
      <c r="H49" s="0" t="n">
        <f aca="false">IF(A49="",1,IF(A49=" 0 : 1","TP1",IF(A49=" 0 : 3","TP3","CAB")))</f>
        <v>1</v>
      </c>
      <c r="I49" s="0" t="str">
        <f aca="false">IF(A49="","",IF(C50=C49,1,""))</f>
        <v/>
      </c>
      <c r="J49" s="0" t="str">
        <f aca="false">IF(A49="","",IF(C49=C48,1,""))</f>
        <v/>
      </c>
      <c r="K49" s="0" t="str">
        <f aca="false">IF(I49=1,1,IF(J49=1,1,""))</f>
        <v/>
      </c>
      <c r="L49" s="0" t="str">
        <f aca="false">IFERROR(IF(AND(H48="",H49=""),"",IF(H49="TP1",1,IF(H49="TP3",15,IF(AND(A49="",L48=15),"",IF(H48="CAB",L48,L48+1))))),"")</f>
        <v/>
      </c>
      <c r="M49" s="0" t="str">
        <f aca="false">IF(A49="","",IF(H49="TP1","1"&amp;"_"&amp;C49,IF(H49="TP3","15"&amp;"_"&amp;C49,L49&amp;"_"&amp;D49)))</f>
        <v/>
      </c>
      <c r="N49" s="0" t="str">
        <f aca="false">E48&amp;IF(F49=1,"T","")</f>
        <v/>
      </c>
      <c r="O49" s="0" t="str">
        <f aca="false">IFERROR(((IF(L49=1,0,IF(L49=15,VARIÁVEIS!$B$34,((MID(C49,1,(SEARCH(".",C49,1)-1))&amp;","&amp;MID(C49,(SEARCH(".",C49,1)+1),1))&amp;"0")*1)))*1),"")</f>
        <v/>
      </c>
      <c r="P49" s="0" t="str">
        <f aca="false">(IFERROR(D49/32,""))</f>
        <v/>
      </c>
    </row>
    <row r="50" customFormat="false" ht="12.75" hidden="false" customHeight="false" outlineLevel="0" collapsed="false">
      <c r="A50" s="0" t="str">
        <f aca="false">IF('Leitura .bpp --&gt; .csv'!F94="","",'Leitura .bpp --&gt; .csv'!F94)</f>
        <v/>
      </c>
      <c r="B50" s="0" t="str">
        <f aca="false">IF('Leitura .bpp --&gt; .csv'!G94="","",'Leitura .bpp --&gt; .csv'!G94)</f>
        <v/>
      </c>
      <c r="C50" s="0" t="str">
        <f aca="false">IF('Leitura .bpp --&gt; .csv'!H94="","",'Leitura .bpp --&gt; .csv'!H94)</f>
        <v/>
      </c>
      <c r="D50" s="0" t="str">
        <f aca="false">IF('Leitura .bpp --&gt; .csv'!I94="","",'Leitura .bpp --&gt; .csv'!I94)</f>
        <v/>
      </c>
      <c r="E50" s="0" t="str">
        <f aca="false">IF('Leitura .bpp --&gt; .csv'!L94="","",'Leitura .bpp --&gt; .csv'!L94)</f>
        <v/>
      </c>
      <c r="F50" s="0" t="str">
        <f aca="false">IF('Leitura .bpp --&gt; .csv'!M94="","",'Leitura .bpp --&gt; .csv'!M94)</f>
        <v/>
      </c>
      <c r="G50" s="0" t="str">
        <f aca="false">IF('Leitura .bpp --&gt; .csv'!K94="","",'Leitura .bpp --&gt; .csv'!K94)</f>
        <v/>
      </c>
      <c r="H50" s="0" t="n">
        <f aca="false">IF(A50="",1,IF(A50=" 0 : 1","TP1",IF(A50=" 0 : 3","TP3","CAB")))</f>
        <v>1</v>
      </c>
      <c r="I50" s="0" t="str">
        <f aca="false">IF(A50="","",IF(C51=C50,1,""))</f>
        <v/>
      </c>
      <c r="J50" s="0" t="str">
        <f aca="false">IF(A50="","",IF(C50=C49,1,""))</f>
        <v/>
      </c>
      <c r="K50" s="0" t="str">
        <f aca="false">IF(I50=1,1,IF(J50=1,1,""))</f>
        <v/>
      </c>
      <c r="L50" s="0" t="str">
        <f aca="false">IFERROR(IF(AND(H49="",H50=""),"",IF(H50="TP1",1,IF(H50="TP3",15,IF(AND(A50="",L49=15),"",IF(H49="CAB",L49,L49+1))))),"")</f>
        <v/>
      </c>
      <c r="M50" s="0" t="str">
        <f aca="false">IF(A50="","",IF(H50="TP1","1"&amp;"_"&amp;C50,IF(H50="TP3","15"&amp;"_"&amp;C50,L50&amp;"_"&amp;D50)))</f>
        <v/>
      </c>
      <c r="N50" s="0" t="str">
        <f aca="false">E49&amp;IF(F50=1,"T","")</f>
        <v/>
      </c>
      <c r="O50" s="0" t="str">
        <f aca="false">IFERROR(((IF(L50=1,0,IF(L50=15,VARIÁVEIS!$B$34,((MID(C50,1,(SEARCH(".",C50,1)-1))&amp;","&amp;MID(C50,(SEARCH(".",C50,1)+1),1))&amp;"0")*1)))*1),"")</f>
        <v/>
      </c>
      <c r="P50" s="0" t="str">
        <f aca="false">(IFERROR(D50/32,""))</f>
        <v/>
      </c>
    </row>
    <row r="51" customFormat="false" ht="12.75" hidden="false" customHeight="false" outlineLevel="0" collapsed="false">
      <c r="A51" s="0" t="str">
        <f aca="false">IF('Leitura .bpp --&gt; .csv'!F95="","",'Leitura .bpp --&gt; .csv'!F95)</f>
        <v/>
      </c>
      <c r="B51" s="0" t="str">
        <f aca="false">IF('Leitura .bpp --&gt; .csv'!G95="","",'Leitura .bpp --&gt; .csv'!G95)</f>
        <v/>
      </c>
      <c r="C51" s="0" t="str">
        <f aca="false">IF('Leitura .bpp --&gt; .csv'!H95="","",'Leitura .bpp --&gt; .csv'!H95)</f>
        <v/>
      </c>
      <c r="D51" s="0" t="str">
        <f aca="false">IF('Leitura .bpp --&gt; .csv'!I95="","",'Leitura .bpp --&gt; .csv'!I95)</f>
        <v/>
      </c>
      <c r="E51" s="0" t="str">
        <f aca="false">IF('Leitura .bpp --&gt; .csv'!L95="","",'Leitura .bpp --&gt; .csv'!L95)</f>
        <v/>
      </c>
      <c r="F51" s="0" t="str">
        <f aca="false">IF('Leitura .bpp --&gt; .csv'!M95="","",'Leitura .bpp --&gt; .csv'!M95)</f>
        <v/>
      </c>
      <c r="G51" s="0" t="str">
        <f aca="false">IF('Leitura .bpp --&gt; .csv'!K95="","",'Leitura .bpp --&gt; .csv'!K95)</f>
        <v/>
      </c>
      <c r="H51" s="0" t="n">
        <f aca="false">IF(A51="",1,IF(A51=" 0 : 1","TP1",IF(A51=" 0 : 3","TP3","CAB")))</f>
        <v>1</v>
      </c>
      <c r="I51" s="0" t="str">
        <f aca="false">IF(A51="","",IF(C52=C51,1,""))</f>
        <v/>
      </c>
      <c r="J51" s="0" t="str">
        <f aca="false">IF(A51="","",IF(C51=C50,1,""))</f>
        <v/>
      </c>
      <c r="K51" s="0" t="str">
        <f aca="false">IF(I51=1,1,IF(J51=1,1,""))</f>
        <v/>
      </c>
      <c r="L51" s="0" t="str">
        <f aca="false">IFERROR(IF(AND(H50="",H51=""),"",IF(H51="TP1",1,IF(H51="TP3",15,IF(AND(A51="",L50=15),"",IF(H50="CAB",L50,L50+1))))),"")</f>
        <v/>
      </c>
      <c r="M51" s="0" t="str">
        <f aca="false">IF(A51="","",IF(H51="TP1","1"&amp;"_"&amp;C51,IF(H51="TP3","15"&amp;"_"&amp;C51,L51&amp;"_"&amp;D51)))</f>
        <v/>
      </c>
      <c r="N51" s="0" t="str">
        <f aca="false">E50&amp;IF(F51=1,"T","")</f>
        <v/>
      </c>
      <c r="O51" s="0" t="str">
        <f aca="false">IFERROR(((IF(L51=1,0,IF(L51=15,VARIÁVEIS!$B$34,((MID(C51,1,(SEARCH(".",C51,1)-1))&amp;","&amp;MID(C51,(SEARCH(".",C51,1)+1),1))&amp;"0")*1)))*1),"")</f>
        <v/>
      </c>
      <c r="P51" s="0" t="str">
        <f aca="false">(IFERROR(D51/32,""))</f>
        <v/>
      </c>
    </row>
    <row r="52" customFormat="false" ht="12.75" hidden="false" customHeight="false" outlineLevel="0" collapsed="false">
      <c r="A52" s="0" t="str">
        <f aca="false">IF('Leitura .bpp --&gt; .csv'!F96="","",'Leitura .bpp --&gt; .csv'!F96)</f>
        <v/>
      </c>
      <c r="B52" s="0" t="str">
        <f aca="false">IF('Leitura .bpp --&gt; .csv'!G96="","",'Leitura .bpp --&gt; .csv'!G96)</f>
        <v/>
      </c>
      <c r="C52" s="0" t="str">
        <f aca="false">IF('Leitura .bpp --&gt; .csv'!H96="","",'Leitura .bpp --&gt; .csv'!H96)</f>
        <v/>
      </c>
      <c r="D52" s="0" t="str">
        <f aca="false">IF('Leitura .bpp --&gt; .csv'!I96="","",'Leitura .bpp --&gt; .csv'!I96)</f>
        <v/>
      </c>
      <c r="E52" s="0" t="str">
        <f aca="false">IF('Leitura .bpp --&gt; .csv'!L96="","",'Leitura .bpp --&gt; .csv'!L96)</f>
        <v/>
      </c>
      <c r="F52" s="0" t="str">
        <f aca="false">IF('Leitura .bpp --&gt; .csv'!M96="","",'Leitura .bpp --&gt; .csv'!M96)</f>
        <v/>
      </c>
      <c r="G52" s="0" t="str">
        <f aca="false">IF('Leitura .bpp --&gt; .csv'!K96="","",'Leitura .bpp --&gt; .csv'!K96)</f>
        <v/>
      </c>
      <c r="H52" s="0" t="n">
        <f aca="false">IF(A52="",1,IF(A52=" 0 : 1","TP1",IF(A52=" 0 : 3","TP3","CAB")))</f>
        <v>1</v>
      </c>
      <c r="I52" s="0" t="str">
        <f aca="false">IF(A52="","",IF(C53=C52,1,""))</f>
        <v/>
      </c>
      <c r="J52" s="0" t="str">
        <f aca="false">IF(A52="","",IF(C52=C51,1,""))</f>
        <v/>
      </c>
      <c r="K52" s="0" t="str">
        <f aca="false">IF(I52=1,1,IF(J52=1,1,""))</f>
        <v/>
      </c>
      <c r="L52" s="0" t="str">
        <f aca="false">IFERROR(IF(AND(H51="",H52=""),"",IF(H52="TP1",1,IF(H52="TP3",15,IF(AND(A52="",L51=15),"",IF(H51="CAB",L51,L51+1))))),"")</f>
        <v/>
      </c>
      <c r="M52" s="0" t="str">
        <f aca="false">IF(A52="","",IF(H52="TP1","1"&amp;"_"&amp;C52,IF(H52="TP3","15"&amp;"_"&amp;C52,L52&amp;"_"&amp;D52)))</f>
        <v/>
      </c>
      <c r="N52" s="0" t="str">
        <f aca="false">E51&amp;IF(F52=1,"T","")</f>
        <v/>
      </c>
      <c r="O52" s="0" t="str">
        <f aca="false">IFERROR(((IF(L52=1,0,IF(L52=15,VARIÁVEIS!$B$34,((MID(C52,1,(SEARCH(".",C52,1)-1))&amp;","&amp;MID(C52,(SEARCH(".",C52,1)+1),1))&amp;"0")*1)))*1),"")</f>
        <v/>
      </c>
      <c r="P52" s="0" t="str">
        <f aca="false">(IFERROR(D52/32,""))</f>
        <v/>
      </c>
    </row>
    <row r="53" customFormat="false" ht="12.75" hidden="false" customHeight="false" outlineLevel="0" collapsed="false">
      <c r="A53" s="0" t="str">
        <f aca="false">IF('Leitura .bpp --&gt; .csv'!F97="","",'Leitura .bpp --&gt; .csv'!F97)</f>
        <v/>
      </c>
      <c r="B53" s="0" t="str">
        <f aca="false">IF('Leitura .bpp --&gt; .csv'!G97="","",'Leitura .bpp --&gt; .csv'!G97)</f>
        <v/>
      </c>
      <c r="C53" s="0" t="str">
        <f aca="false">IF('Leitura .bpp --&gt; .csv'!H97="","",'Leitura .bpp --&gt; .csv'!H97)</f>
        <v/>
      </c>
      <c r="D53" s="0" t="str">
        <f aca="false">IF('Leitura .bpp --&gt; .csv'!I97="","",'Leitura .bpp --&gt; .csv'!I97)</f>
        <v/>
      </c>
      <c r="E53" s="0" t="str">
        <f aca="false">IF('Leitura .bpp --&gt; .csv'!L97="","",'Leitura .bpp --&gt; .csv'!L97)</f>
        <v/>
      </c>
      <c r="F53" s="0" t="str">
        <f aca="false">IF('Leitura .bpp --&gt; .csv'!M97="","",'Leitura .bpp --&gt; .csv'!M97)</f>
        <v/>
      </c>
      <c r="G53" s="0" t="str">
        <f aca="false">IF('Leitura .bpp --&gt; .csv'!K97="","",'Leitura .bpp --&gt; .csv'!K97)</f>
        <v/>
      </c>
      <c r="H53" s="0" t="n">
        <f aca="false">IF(A53="",1,IF(A53=" 0 : 1","TP1",IF(A53=" 0 : 3","TP3","CAB")))</f>
        <v>1</v>
      </c>
      <c r="I53" s="0" t="str">
        <f aca="false">IF(A53="","",IF(C54=C53,1,""))</f>
        <v/>
      </c>
      <c r="J53" s="0" t="str">
        <f aca="false">IF(A53="","",IF(C53=C52,1,""))</f>
        <v/>
      </c>
      <c r="K53" s="0" t="str">
        <f aca="false">IF(I53=1,1,IF(J53=1,1,""))</f>
        <v/>
      </c>
      <c r="L53" s="0" t="str">
        <f aca="false">IFERROR(IF(AND(H52="",H53=""),"",IF(H53="TP1",1,IF(H53="TP3",15,IF(AND(A53="",L52=15),"",IF(H52="CAB",L52,L52+1))))),"")</f>
        <v/>
      </c>
      <c r="M53" s="0" t="str">
        <f aca="false">IF(A53="","",IF(H53="TP1","1"&amp;"_"&amp;C53,IF(H53="TP3","15"&amp;"_"&amp;C53,L53&amp;"_"&amp;D53)))</f>
        <v/>
      </c>
      <c r="N53" s="0" t="str">
        <f aca="false">E52&amp;IF(F53=1,"T","")</f>
        <v/>
      </c>
      <c r="O53" s="0" t="str">
        <f aca="false">IFERROR(((IF(L53=1,0,IF(L53=15,VARIÁVEIS!$B$34,((MID(C53,1,(SEARCH(".",C53,1)-1))&amp;","&amp;MID(C53,(SEARCH(".",C53,1)+1),1))&amp;"0")*1)))*1),"")</f>
        <v/>
      </c>
      <c r="P53" s="0" t="str">
        <f aca="false">(IFERROR(D53/32,""))</f>
        <v/>
      </c>
    </row>
    <row r="54" customFormat="false" ht="12.75" hidden="false" customHeight="false" outlineLevel="0" collapsed="false">
      <c r="A54" s="0" t="str">
        <f aca="false">IF('Leitura .bpp --&gt; .csv'!F98="","",'Leitura .bpp --&gt; .csv'!F98)</f>
        <v/>
      </c>
      <c r="B54" s="0" t="str">
        <f aca="false">IF('Leitura .bpp --&gt; .csv'!G98="","",'Leitura .bpp --&gt; .csv'!G98)</f>
        <v/>
      </c>
      <c r="C54" s="0" t="str">
        <f aca="false">IF('Leitura .bpp --&gt; .csv'!H98="","",'Leitura .bpp --&gt; .csv'!H98)</f>
        <v/>
      </c>
      <c r="D54" s="0" t="str">
        <f aca="false">IF('Leitura .bpp --&gt; .csv'!I98="","",'Leitura .bpp --&gt; .csv'!I98)</f>
        <v/>
      </c>
      <c r="E54" s="0" t="str">
        <f aca="false">IF('Leitura .bpp --&gt; .csv'!L98="","",'Leitura .bpp --&gt; .csv'!L98)</f>
        <v/>
      </c>
      <c r="F54" s="0" t="str">
        <f aca="false">IF('Leitura .bpp --&gt; .csv'!M98="","",'Leitura .bpp --&gt; .csv'!M98)</f>
        <v/>
      </c>
      <c r="G54" s="0" t="str">
        <f aca="false">IF('Leitura .bpp --&gt; .csv'!K98="","",'Leitura .bpp --&gt; .csv'!K98)</f>
        <v/>
      </c>
      <c r="H54" s="0" t="n">
        <f aca="false">IF(A54="",1,IF(A54=" 0 : 1","TP1",IF(A54=" 0 : 3","TP3","CAB")))</f>
        <v>1</v>
      </c>
      <c r="I54" s="0" t="str">
        <f aca="false">IF(A54="","",IF(C55=C54,1,""))</f>
        <v/>
      </c>
      <c r="J54" s="0" t="str">
        <f aca="false">IF(A54="","",IF(C54=C53,1,""))</f>
        <v/>
      </c>
      <c r="K54" s="0" t="str">
        <f aca="false">IF(I54=1,1,IF(J54=1,1,""))</f>
        <v/>
      </c>
      <c r="L54" s="0" t="str">
        <f aca="false">IFERROR(IF(AND(H53="",H54=""),"",IF(H54="TP1",1,IF(H54="TP3",15,IF(AND(A54="",L53=15),"",IF(H53="CAB",L53,L53+1))))),"")</f>
        <v/>
      </c>
      <c r="M54" s="0" t="str">
        <f aca="false">IF(A54="","",IF(H54="TP1","1"&amp;"_"&amp;C54,IF(H54="TP3","15"&amp;"_"&amp;C54,L54&amp;"_"&amp;D54)))</f>
        <v/>
      </c>
      <c r="N54" s="0" t="str">
        <f aca="false">E53&amp;IF(F54=1,"T","")</f>
        <v/>
      </c>
      <c r="O54" s="0" t="str">
        <f aca="false">IFERROR(((IF(L54=1,0,IF(L54=15,VARIÁVEIS!$B$34,((MID(C54,1,(SEARCH(".",C54,1)-1))&amp;","&amp;MID(C54,(SEARCH(".",C54,1)+1),1))&amp;"0")*1)))*1),"")</f>
        <v/>
      </c>
      <c r="P54" s="0" t="str">
        <f aca="false">(IFERROR(D54/32,""))</f>
        <v/>
      </c>
    </row>
    <row r="55" customFormat="false" ht="12.75" hidden="false" customHeight="false" outlineLevel="0" collapsed="false">
      <c r="A55" s="0" t="str">
        <f aca="false">IF('Leitura .bpp --&gt; .csv'!F99="","",'Leitura .bpp --&gt; .csv'!F99)</f>
        <v/>
      </c>
      <c r="B55" s="0" t="str">
        <f aca="false">IF('Leitura .bpp --&gt; .csv'!G99="","",'Leitura .bpp --&gt; .csv'!G99)</f>
        <v/>
      </c>
      <c r="C55" s="0" t="str">
        <f aca="false">IF('Leitura .bpp --&gt; .csv'!H99="","",'Leitura .bpp --&gt; .csv'!H99)</f>
        <v/>
      </c>
      <c r="D55" s="0" t="str">
        <f aca="false">IF('Leitura .bpp --&gt; .csv'!I99="","",'Leitura .bpp --&gt; .csv'!I99)</f>
        <v/>
      </c>
      <c r="E55" s="0" t="str">
        <f aca="false">IF('Leitura .bpp --&gt; .csv'!L99="","",'Leitura .bpp --&gt; .csv'!L99)</f>
        <v/>
      </c>
      <c r="F55" s="0" t="str">
        <f aca="false">IF('Leitura .bpp --&gt; .csv'!M99="","",'Leitura .bpp --&gt; .csv'!M99)</f>
        <v/>
      </c>
      <c r="G55" s="0" t="str">
        <f aca="false">IF('Leitura .bpp --&gt; .csv'!K99="","",'Leitura .bpp --&gt; .csv'!K99)</f>
        <v/>
      </c>
      <c r="H55" s="0" t="n">
        <f aca="false">IF(A55="",1,IF(A55=" 0 : 1","TP1",IF(A55=" 0 : 3","TP3","CAB")))</f>
        <v>1</v>
      </c>
      <c r="I55" s="0" t="str">
        <f aca="false">IF(A55="","",IF(C56=C55,1,""))</f>
        <v/>
      </c>
      <c r="J55" s="0" t="str">
        <f aca="false">IF(A55="","",IF(C55=C54,1,""))</f>
        <v/>
      </c>
      <c r="K55" s="0" t="str">
        <f aca="false">IF(I55=1,1,IF(J55=1,1,""))</f>
        <v/>
      </c>
      <c r="L55" s="0" t="str">
        <f aca="false">IFERROR(IF(AND(H54="",H55=""),"",IF(H55="TP1",1,IF(H55="TP3",15,IF(AND(A55="",L54=15),"",IF(H54="CAB",L54,L54+1))))),"")</f>
        <v/>
      </c>
      <c r="M55" s="0" t="str">
        <f aca="false">IF(A55="","",IF(H55="TP1","1"&amp;"_"&amp;C55,IF(H55="TP3","15"&amp;"_"&amp;C55,L55&amp;"_"&amp;D55)))</f>
        <v/>
      </c>
      <c r="N55" s="0" t="str">
        <f aca="false">E54&amp;IF(F55=1,"T","")</f>
        <v/>
      </c>
      <c r="O55" s="0" t="str">
        <f aca="false">IFERROR(((IF(L55=1,0,IF(L55=15,VARIÁVEIS!$B$34,((MID(C55,1,(SEARCH(".",C55,1)-1))&amp;","&amp;MID(C55,(SEARCH(".",C55,1)+1),1))&amp;"0")*1)))*1),"")</f>
        <v/>
      </c>
      <c r="P55" s="0" t="str">
        <f aca="false">(IFERROR(D55/32,""))</f>
        <v/>
      </c>
    </row>
    <row r="56" customFormat="false" ht="12.75" hidden="false" customHeight="false" outlineLevel="0" collapsed="false">
      <c r="A56" s="0" t="str">
        <f aca="false">IF('Leitura .bpp --&gt; .csv'!F100="","",'Leitura .bpp --&gt; .csv'!F100)</f>
        <v/>
      </c>
      <c r="B56" s="0" t="str">
        <f aca="false">IF('Leitura .bpp --&gt; .csv'!G100="","",'Leitura .bpp --&gt; .csv'!G100)</f>
        <v/>
      </c>
      <c r="C56" s="0" t="str">
        <f aca="false">IF('Leitura .bpp --&gt; .csv'!H100="","",'Leitura .bpp --&gt; .csv'!H100)</f>
        <v/>
      </c>
      <c r="D56" s="0" t="str">
        <f aca="false">IF('Leitura .bpp --&gt; .csv'!I100="","",'Leitura .bpp --&gt; .csv'!I100)</f>
        <v/>
      </c>
      <c r="E56" s="0" t="str">
        <f aca="false">IF('Leitura .bpp --&gt; .csv'!L100="","",'Leitura .bpp --&gt; .csv'!L100)</f>
        <v/>
      </c>
      <c r="F56" s="0" t="str">
        <f aca="false">IF('Leitura .bpp --&gt; .csv'!M100="","",'Leitura .bpp --&gt; .csv'!M100)</f>
        <v/>
      </c>
      <c r="G56" s="0" t="str">
        <f aca="false">IF('Leitura .bpp --&gt; .csv'!K100="","",'Leitura .bpp --&gt; .csv'!K100)</f>
        <v/>
      </c>
      <c r="H56" s="0" t="n">
        <f aca="false">IF(A56="",1,IF(A56=" 0 : 1","TP1",IF(A56=" 0 : 3","TP3","CAB")))</f>
        <v>1</v>
      </c>
      <c r="I56" s="0" t="str">
        <f aca="false">IF(A56="","",IF(C57=C56,1,""))</f>
        <v/>
      </c>
      <c r="J56" s="0" t="str">
        <f aca="false">IF(A56="","",IF(C56=C55,1,""))</f>
        <v/>
      </c>
      <c r="K56" s="0" t="str">
        <f aca="false">IF(I56=1,1,IF(J56=1,1,""))</f>
        <v/>
      </c>
      <c r="L56" s="0" t="str">
        <f aca="false">IFERROR(IF(AND(H55="",H56=""),"",IF(H56="TP1",1,IF(H56="TP3",15,IF(AND(A56="",L55=15),"",IF(H55="CAB",L55,L55+1))))),"")</f>
        <v/>
      </c>
      <c r="M56" s="0" t="str">
        <f aca="false">IF(A56="","",IF(H56="TP1","1"&amp;"_"&amp;C56,IF(H56="TP3","15"&amp;"_"&amp;C56,L56&amp;"_"&amp;D56)))</f>
        <v/>
      </c>
      <c r="N56" s="0" t="str">
        <f aca="false">E55&amp;IF(F56=1,"T","")</f>
        <v/>
      </c>
      <c r="O56" s="0" t="str">
        <f aca="false">IFERROR(((IF(L56=1,0,IF(L56=15,VARIÁVEIS!$B$34,((MID(C56,1,(SEARCH(".",C56,1)-1))&amp;","&amp;MID(C56,(SEARCH(".",C56,1)+1),1))&amp;"0")*1)))*1),"")</f>
        <v/>
      </c>
      <c r="P56" s="0" t="str">
        <f aca="false">(IFERROR(D56/32,""))</f>
        <v/>
      </c>
    </row>
    <row r="57" customFormat="false" ht="12.75" hidden="false" customHeight="false" outlineLevel="0" collapsed="false">
      <c r="A57" s="0" t="str">
        <f aca="false">IF('Leitura .bpp --&gt; .csv'!F101="","",'Leitura .bpp --&gt; .csv'!F101)</f>
        <v/>
      </c>
      <c r="B57" s="0" t="str">
        <f aca="false">IF('Leitura .bpp --&gt; .csv'!G101="","",'Leitura .bpp --&gt; .csv'!G101)</f>
        <v/>
      </c>
      <c r="C57" s="0" t="str">
        <f aca="false">IF('Leitura .bpp --&gt; .csv'!H101="","",'Leitura .bpp --&gt; .csv'!H101)</f>
        <v/>
      </c>
      <c r="D57" s="0" t="str">
        <f aca="false">IF('Leitura .bpp --&gt; .csv'!I101="","",'Leitura .bpp --&gt; .csv'!I101)</f>
        <v/>
      </c>
      <c r="E57" s="0" t="str">
        <f aca="false">IF('Leitura .bpp --&gt; .csv'!L101="","",'Leitura .bpp --&gt; .csv'!L101)</f>
        <v/>
      </c>
      <c r="F57" s="0" t="str">
        <f aca="false">IF('Leitura .bpp --&gt; .csv'!M101="","",'Leitura .bpp --&gt; .csv'!M101)</f>
        <v/>
      </c>
      <c r="G57" s="0" t="str">
        <f aca="false">IF('Leitura .bpp --&gt; .csv'!K101="","",'Leitura .bpp --&gt; .csv'!K101)</f>
        <v/>
      </c>
      <c r="H57" s="0" t="n">
        <f aca="false">IF(A57="",1,IF(A57=" 0 : 1","TP1",IF(A57=" 0 : 3","TP3","CAB")))</f>
        <v>1</v>
      </c>
      <c r="I57" s="0" t="str">
        <f aca="false">IF(A57="","",IF(C58=C57,1,""))</f>
        <v/>
      </c>
      <c r="J57" s="0" t="str">
        <f aca="false">IF(A57="","",IF(C57=C56,1,""))</f>
        <v/>
      </c>
      <c r="K57" s="0" t="str">
        <f aca="false">IF(I57=1,1,IF(J57=1,1,""))</f>
        <v/>
      </c>
      <c r="L57" s="0" t="str">
        <f aca="false">IFERROR(IF(AND(H56="",H57=""),"",IF(H57="TP1",1,IF(H57="TP3",15,IF(AND(A57="",L56=15),"",IF(H56="CAB",L56,L56+1))))),"")</f>
        <v/>
      </c>
      <c r="M57" s="0" t="str">
        <f aca="false">IF(A57="","",IF(H57="TP1","1"&amp;"_"&amp;C57,IF(H57="TP3","15"&amp;"_"&amp;C57,L57&amp;"_"&amp;D57)))</f>
        <v/>
      </c>
      <c r="N57" s="0" t="str">
        <f aca="false">E56&amp;IF(F57=1,"T","")</f>
        <v/>
      </c>
      <c r="O57" s="0" t="str">
        <f aca="false">IFERROR(((IF(L57=1,0,IF(L57=15,VARIÁVEIS!$B$34,((MID(C57,1,(SEARCH(".",C57,1)-1))&amp;","&amp;MID(C57,(SEARCH(".",C57,1)+1),1))&amp;"0")*1)))*1),"")</f>
        <v/>
      </c>
      <c r="P57" s="0" t="str">
        <f aca="false">(IFERROR(D57/32,""))</f>
        <v/>
      </c>
    </row>
    <row r="58" customFormat="false" ht="12.75" hidden="false" customHeight="false" outlineLevel="0" collapsed="false">
      <c r="A58" s="0" t="str">
        <f aca="false">IF('Leitura .bpp --&gt; .csv'!F102="","",'Leitura .bpp --&gt; .csv'!F102)</f>
        <v/>
      </c>
      <c r="B58" s="0" t="str">
        <f aca="false">IF('Leitura .bpp --&gt; .csv'!G102="","",'Leitura .bpp --&gt; .csv'!G102)</f>
        <v/>
      </c>
      <c r="C58" s="0" t="str">
        <f aca="false">IF('Leitura .bpp --&gt; .csv'!H102="","",'Leitura .bpp --&gt; .csv'!H102)</f>
        <v/>
      </c>
      <c r="D58" s="0" t="str">
        <f aca="false">IF('Leitura .bpp --&gt; .csv'!I102="","",'Leitura .bpp --&gt; .csv'!I102)</f>
        <v/>
      </c>
      <c r="E58" s="0" t="str">
        <f aca="false">IF('Leitura .bpp --&gt; .csv'!L102="","",'Leitura .bpp --&gt; .csv'!L102)</f>
        <v/>
      </c>
      <c r="F58" s="0" t="str">
        <f aca="false">IF('Leitura .bpp --&gt; .csv'!M102="","",'Leitura .bpp --&gt; .csv'!M102)</f>
        <v/>
      </c>
      <c r="G58" s="0" t="str">
        <f aca="false">IF('Leitura .bpp --&gt; .csv'!K102="","",'Leitura .bpp --&gt; .csv'!K102)</f>
        <v/>
      </c>
      <c r="H58" s="0" t="n">
        <f aca="false">IF(A58="",1,IF(A58=" 0 : 1","TP1",IF(A58=" 0 : 3","TP3","CAB")))</f>
        <v>1</v>
      </c>
      <c r="I58" s="0" t="str">
        <f aca="false">IF(A58="","",IF(C59=C58,1,""))</f>
        <v/>
      </c>
      <c r="J58" s="0" t="str">
        <f aca="false">IF(A58="","",IF(C58=C57,1,""))</f>
        <v/>
      </c>
      <c r="K58" s="0" t="str">
        <f aca="false">IF(I58=1,1,IF(J58=1,1,""))</f>
        <v/>
      </c>
      <c r="L58" s="0" t="str">
        <f aca="false">IFERROR(IF(AND(H57="",H58=""),"",IF(H58="TP1",1,IF(H58="TP3",15,IF(AND(A58="",L57=15),"",IF(H57="CAB",L57,L57+1))))),"")</f>
        <v/>
      </c>
      <c r="M58" s="0" t="str">
        <f aca="false">IF(A58="","",IF(H58="TP1","1"&amp;"_"&amp;C58,IF(H58="TP3","15"&amp;"_"&amp;C58,L58&amp;"_"&amp;D58)))</f>
        <v/>
      </c>
      <c r="N58" s="0" t="str">
        <f aca="false">E57&amp;IF(F58=1,"T","")</f>
        <v/>
      </c>
      <c r="O58" s="0" t="str">
        <f aca="false">IFERROR(((IF(L58=1,0,IF(L58=15,VARIÁVEIS!$B$34,((MID(C58,1,(SEARCH(".",C58,1)-1))&amp;","&amp;MID(C58,(SEARCH(".",C58,1)+1),1))&amp;"0")*1)))*1),"")</f>
        <v/>
      </c>
      <c r="P58" s="0" t="str">
        <f aca="false">(IFERROR(D58/32,""))</f>
        <v/>
      </c>
    </row>
    <row r="59" customFormat="false" ht="12.75" hidden="false" customHeight="false" outlineLevel="0" collapsed="false">
      <c r="A59" s="0" t="str">
        <f aca="false">IF('Leitura .bpp --&gt; .csv'!F103="","",'Leitura .bpp --&gt; .csv'!F103)</f>
        <v/>
      </c>
      <c r="B59" s="0" t="str">
        <f aca="false">IF('Leitura .bpp --&gt; .csv'!G103="","",'Leitura .bpp --&gt; .csv'!G103)</f>
        <v/>
      </c>
      <c r="C59" s="0" t="str">
        <f aca="false">IF('Leitura .bpp --&gt; .csv'!H103="","",'Leitura .bpp --&gt; .csv'!H103)</f>
        <v/>
      </c>
      <c r="D59" s="0" t="str">
        <f aca="false">IF('Leitura .bpp --&gt; .csv'!I103="","",'Leitura .bpp --&gt; .csv'!I103)</f>
        <v/>
      </c>
      <c r="E59" s="0" t="str">
        <f aca="false">IF('Leitura .bpp --&gt; .csv'!L103="","",'Leitura .bpp --&gt; .csv'!L103)</f>
        <v/>
      </c>
      <c r="F59" s="0" t="str">
        <f aca="false">IF('Leitura .bpp --&gt; .csv'!M103="","",'Leitura .bpp --&gt; .csv'!M103)</f>
        <v/>
      </c>
      <c r="G59" s="0" t="str">
        <f aca="false">IF('Leitura .bpp --&gt; .csv'!K103="","",'Leitura .bpp --&gt; .csv'!K103)</f>
        <v/>
      </c>
      <c r="H59" s="0" t="n">
        <f aca="false">IF(A59="",1,IF(A59=" 0 : 1","TP1",IF(A59=" 0 : 3","TP3","CAB")))</f>
        <v>1</v>
      </c>
      <c r="I59" s="0" t="str">
        <f aca="false">IF(A59="","",IF(C60=C59,1,""))</f>
        <v/>
      </c>
      <c r="J59" s="0" t="str">
        <f aca="false">IF(A59="","",IF(C59=C58,1,""))</f>
        <v/>
      </c>
      <c r="K59" s="0" t="str">
        <f aca="false">IF(I59=1,1,IF(J59=1,1,""))</f>
        <v/>
      </c>
      <c r="L59" s="0" t="str">
        <f aca="false">IFERROR(IF(AND(H58="",H59=""),"",IF(H59="TP1",1,IF(H59="TP3",15,IF(AND(A59="",L58=15),"",IF(H58="CAB",L58,L58+1))))),"")</f>
        <v/>
      </c>
      <c r="M59" s="0" t="str">
        <f aca="false">IF(A59="","",IF(H59="TP1","1"&amp;"_"&amp;C59,IF(H59="TP3","15"&amp;"_"&amp;C59,L59&amp;"_"&amp;D59)))</f>
        <v/>
      </c>
      <c r="N59" s="0" t="str">
        <f aca="false">E58&amp;IF(F59=1,"T","")</f>
        <v/>
      </c>
      <c r="O59" s="0" t="str">
        <f aca="false">IFERROR(((IF(L59=1,0,IF(L59=15,VARIÁVEIS!$B$34,((MID(C59,1,(SEARCH(".",C59,1)-1))&amp;","&amp;MID(C59,(SEARCH(".",C59,1)+1),1))&amp;"0")*1)))*1),"")</f>
        <v/>
      </c>
      <c r="P59" s="0" t="str">
        <f aca="false">(IFERROR(D59/32,""))</f>
        <v/>
      </c>
    </row>
    <row r="60" customFormat="false" ht="12.75" hidden="false" customHeight="false" outlineLevel="0" collapsed="false">
      <c r="A60" s="0" t="str">
        <f aca="false">IF('Leitura .bpp --&gt; .csv'!F104="","",'Leitura .bpp --&gt; .csv'!F104)</f>
        <v/>
      </c>
      <c r="B60" s="0" t="str">
        <f aca="false">IF('Leitura .bpp --&gt; .csv'!G104="","",'Leitura .bpp --&gt; .csv'!G104)</f>
        <v/>
      </c>
      <c r="C60" s="0" t="str">
        <f aca="false">IF('Leitura .bpp --&gt; .csv'!H104="","",'Leitura .bpp --&gt; .csv'!H104)</f>
        <v/>
      </c>
      <c r="D60" s="0" t="str">
        <f aca="false">IF('Leitura .bpp --&gt; .csv'!I104="","",'Leitura .bpp --&gt; .csv'!I104)</f>
        <v/>
      </c>
      <c r="E60" s="0" t="str">
        <f aca="false">IF('Leitura .bpp --&gt; .csv'!L104="","",'Leitura .bpp --&gt; .csv'!L104)</f>
        <v/>
      </c>
      <c r="F60" s="0" t="str">
        <f aca="false">IF('Leitura .bpp --&gt; .csv'!M104="","",'Leitura .bpp --&gt; .csv'!M104)</f>
        <v/>
      </c>
      <c r="G60" s="0" t="str">
        <f aca="false">IF('Leitura .bpp --&gt; .csv'!K104="","",'Leitura .bpp --&gt; .csv'!K104)</f>
        <v/>
      </c>
      <c r="H60" s="0" t="n">
        <f aca="false">IF(A60="",1,IF(A60=" 0 : 1","TP1",IF(A60=" 0 : 3","TP3","CAB")))</f>
        <v>1</v>
      </c>
      <c r="I60" s="0" t="str">
        <f aca="false">IF(A60="","",IF(C61=C60,1,""))</f>
        <v/>
      </c>
      <c r="J60" s="0" t="str">
        <f aca="false">IF(A60="","",IF(C60=C59,1,""))</f>
        <v/>
      </c>
      <c r="K60" s="0" t="str">
        <f aca="false">IF(I60=1,1,IF(J60=1,1,""))</f>
        <v/>
      </c>
      <c r="L60" s="0" t="str">
        <f aca="false">IFERROR(IF(AND(H59="",H60=""),"",IF(H60="TP1",1,IF(H60="TP3",15,IF(AND(A60="",L59=15),"",IF(H59="CAB",L59,L59+1))))),"")</f>
        <v/>
      </c>
      <c r="M60" s="0" t="str">
        <f aca="false">IF(A60="","",IF(H60="TP1","1"&amp;"_"&amp;C60,IF(H60="TP3","15"&amp;"_"&amp;C60,L60&amp;"_"&amp;D60)))</f>
        <v/>
      </c>
      <c r="N60" s="0" t="str">
        <f aca="false">E59&amp;IF(F60=1,"T","")</f>
        <v/>
      </c>
      <c r="O60" s="0" t="str">
        <f aca="false">IFERROR(((IF(L60=1,0,IF(L60=15,VARIÁVEIS!$B$34,((MID(C60,1,(SEARCH(".",C60,1)-1))&amp;","&amp;MID(C60,(SEARCH(".",C60,1)+1),1))&amp;"0")*1)))*1),"")</f>
        <v/>
      </c>
      <c r="P60" s="0" t="str">
        <f aca="false">(IFERROR(D60/32,""))</f>
        <v/>
      </c>
    </row>
    <row r="61" customFormat="false" ht="12.75" hidden="false" customHeight="false" outlineLevel="0" collapsed="false">
      <c r="A61" s="0" t="str">
        <f aca="false">IF('Leitura .bpp --&gt; .csv'!F105="","",'Leitura .bpp --&gt; .csv'!F105)</f>
        <v/>
      </c>
      <c r="B61" s="0" t="str">
        <f aca="false">IF('Leitura .bpp --&gt; .csv'!G105="","",'Leitura .bpp --&gt; .csv'!G105)</f>
        <v/>
      </c>
      <c r="C61" s="0" t="str">
        <f aca="false">IF('Leitura .bpp --&gt; .csv'!H105="","",'Leitura .bpp --&gt; .csv'!H105)</f>
        <v/>
      </c>
      <c r="D61" s="0" t="str">
        <f aca="false">IF('Leitura .bpp --&gt; .csv'!I105="","",'Leitura .bpp --&gt; .csv'!I105)</f>
        <v/>
      </c>
      <c r="E61" s="0" t="str">
        <f aca="false">IF('Leitura .bpp --&gt; .csv'!L105="","",'Leitura .bpp --&gt; .csv'!L105)</f>
        <v/>
      </c>
      <c r="F61" s="0" t="str">
        <f aca="false">IF('Leitura .bpp --&gt; .csv'!M105="","",'Leitura .bpp --&gt; .csv'!M105)</f>
        <v/>
      </c>
      <c r="G61" s="0" t="str">
        <f aca="false">IF('Leitura .bpp --&gt; .csv'!K105="","",'Leitura .bpp --&gt; .csv'!K105)</f>
        <v/>
      </c>
      <c r="H61" s="0" t="n">
        <f aca="false">IF(A61="",1,IF(A61=" 0 : 1","TP1",IF(A61=" 0 : 3","TP3","CAB")))</f>
        <v>1</v>
      </c>
      <c r="I61" s="0" t="str">
        <f aca="false">IF(A61="","",IF(C62=C61,1,""))</f>
        <v/>
      </c>
      <c r="J61" s="0" t="str">
        <f aca="false">IF(A61="","",IF(C61=C60,1,""))</f>
        <v/>
      </c>
      <c r="K61" s="0" t="str">
        <f aca="false">IF(I61=1,1,IF(J61=1,1,""))</f>
        <v/>
      </c>
      <c r="L61" s="0" t="str">
        <f aca="false">IFERROR(IF(AND(H60="",H61=""),"",IF(H61="TP1",1,IF(H61="TP3",15,IF(AND(A61="",L60=15),"",IF(H60="CAB",L60,L60+1))))),"")</f>
        <v/>
      </c>
      <c r="M61" s="0" t="str">
        <f aca="false">IF(A61="","",IF(H61="TP1","1"&amp;"_"&amp;C61,IF(H61="TP3","15"&amp;"_"&amp;C61,L61&amp;"_"&amp;D61)))</f>
        <v/>
      </c>
      <c r="N61" s="0" t="str">
        <f aca="false">E60&amp;IF(F61=1,"T","")</f>
        <v/>
      </c>
      <c r="O61" s="0" t="str">
        <f aca="false">IFERROR(((IF(L61=1,0,IF(L61=15,VARIÁVEIS!$B$34,((MID(C61,1,(SEARCH(".",C61,1)-1))&amp;","&amp;MID(C61,(SEARCH(".",C61,1)+1),1))&amp;"0")*1)))*1),"")</f>
        <v/>
      </c>
      <c r="P61" s="0" t="str">
        <f aca="false">(IFERROR(D61/32,""))</f>
        <v/>
      </c>
    </row>
    <row r="62" customFormat="false" ht="12.75" hidden="false" customHeight="false" outlineLevel="0" collapsed="false">
      <c r="A62" s="0" t="str">
        <f aca="false">IF('Leitura .bpp --&gt; .csv'!F106="","",'Leitura .bpp --&gt; .csv'!F106)</f>
        <v/>
      </c>
      <c r="B62" s="0" t="str">
        <f aca="false">IF('Leitura .bpp --&gt; .csv'!G106="","",'Leitura .bpp --&gt; .csv'!G106)</f>
        <v/>
      </c>
      <c r="C62" s="0" t="str">
        <f aca="false">IF('Leitura .bpp --&gt; .csv'!H106="","",'Leitura .bpp --&gt; .csv'!H106)</f>
        <v/>
      </c>
      <c r="D62" s="0" t="str">
        <f aca="false">IF('Leitura .bpp --&gt; .csv'!I106="","",'Leitura .bpp --&gt; .csv'!I106)</f>
        <v/>
      </c>
      <c r="E62" s="0" t="str">
        <f aca="false">IF('Leitura .bpp --&gt; .csv'!L106="","",'Leitura .bpp --&gt; .csv'!L106)</f>
        <v/>
      </c>
      <c r="F62" s="0" t="str">
        <f aca="false">IF('Leitura .bpp --&gt; .csv'!M106="","",'Leitura .bpp --&gt; .csv'!M106)</f>
        <v/>
      </c>
      <c r="G62" s="0" t="str">
        <f aca="false">IF('Leitura .bpp --&gt; .csv'!K106="","",'Leitura .bpp --&gt; .csv'!K106)</f>
        <v/>
      </c>
      <c r="H62" s="0" t="n">
        <f aca="false">IF(A62="",1,IF(A62=" 0 : 1","TP1",IF(A62=" 0 : 3","TP3","CAB")))</f>
        <v>1</v>
      </c>
      <c r="I62" s="0" t="str">
        <f aca="false">IF(A62="","",IF(C63=C62,1,""))</f>
        <v/>
      </c>
      <c r="J62" s="0" t="str">
        <f aca="false">IF(A62="","",IF(C62=C61,1,""))</f>
        <v/>
      </c>
      <c r="K62" s="0" t="str">
        <f aca="false">IF(I62=1,1,IF(J62=1,1,""))</f>
        <v/>
      </c>
      <c r="L62" s="0" t="str">
        <f aca="false">IFERROR(IF(AND(H61="",H62=""),"",IF(H62="TP1",1,IF(H62="TP3",15,IF(AND(A62="",L61=15),"",IF(H61="CAB",L61,L61+1))))),"")</f>
        <v/>
      </c>
      <c r="M62" s="0" t="str">
        <f aca="false">IF(A62="","",IF(H62="TP1","1"&amp;"_"&amp;C62,IF(H62="TP3","15"&amp;"_"&amp;C62,L62&amp;"_"&amp;D62)))</f>
        <v/>
      </c>
      <c r="N62" s="0" t="str">
        <f aca="false">E61&amp;IF(F62=1,"T","")</f>
        <v/>
      </c>
      <c r="O62" s="0" t="str">
        <f aca="false">IFERROR(((IF(L62=1,0,IF(L62=15,VARIÁVEIS!$B$34,((MID(C62,1,(SEARCH(".",C62,1)-1))&amp;","&amp;MID(C62,(SEARCH(".",C62,1)+1),1))&amp;"0")*1)))*1),"")</f>
        <v/>
      </c>
      <c r="P62" s="0" t="str">
        <f aca="false">(IFERROR(D62/32,""))</f>
        <v/>
      </c>
    </row>
    <row r="63" customFormat="false" ht="12.75" hidden="false" customHeight="false" outlineLevel="0" collapsed="false">
      <c r="A63" s="0" t="str">
        <f aca="false">IF('Leitura .bpp --&gt; .csv'!F107="","",'Leitura .bpp --&gt; .csv'!F107)</f>
        <v/>
      </c>
      <c r="B63" s="0" t="str">
        <f aca="false">IF('Leitura .bpp --&gt; .csv'!G107="","",'Leitura .bpp --&gt; .csv'!G107)</f>
        <v/>
      </c>
      <c r="C63" s="0" t="str">
        <f aca="false">IF('Leitura .bpp --&gt; .csv'!H107="","",'Leitura .bpp --&gt; .csv'!H107)</f>
        <v/>
      </c>
      <c r="D63" s="0" t="str">
        <f aca="false">IF('Leitura .bpp --&gt; .csv'!I107="","",'Leitura .bpp --&gt; .csv'!I107)</f>
        <v/>
      </c>
      <c r="E63" s="0" t="str">
        <f aca="false">IF('Leitura .bpp --&gt; .csv'!L107="","",'Leitura .bpp --&gt; .csv'!L107)</f>
        <v/>
      </c>
      <c r="F63" s="0" t="str">
        <f aca="false">IF('Leitura .bpp --&gt; .csv'!M107="","",'Leitura .bpp --&gt; .csv'!M107)</f>
        <v/>
      </c>
      <c r="G63" s="0" t="str">
        <f aca="false">IF('Leitura .bpp --&gt; .csv'!K107="","",'Leitura .bpp --&gt; .csv'!K107)</f>
        <v/>
      </c>
      <c r="H63" s="0" t="n">
        <f aca="false">IF(A63="",1,IF(A63=" 0 : 1","TP1",IF(A63=" 0 : 3","TP3","CAB")))</f>
        <v>1</v>
      </c>
      <c r="I63" s="0" t="str">
        <f aca="false">IF(A63="","",IF(C64=C63,1,""))</f>
        <v/>
      </c>
      <c r="J63" s="0" t="str">
        <f aca="false">IF(A63="","",IF(C63=C62,1,""))</f>
        <v/>
      </c>
      <c r="K63" s="0" t="str">
        <f aca="false">IF(I63=1,1,IF(J63=1,1,""))</f>
        <v/>
      </c>
      <c r="L63" s="0" t="str">
        <f aca="false">IFERROR(IF(AND(H62="",H63=""),"",IF(H63="TP1",1,IF(H63="TP3",15,IF(AND(A63="",L62=15),"",IF(H62="CAB",L62,L62+1))))),"")</f>
        <v/>
      </c>
      <c r="M63" s="0" t="str">
        <f aca="false">IF(A63="","",IF(H63="TP1","1"&amp;"_"&amp;C63,IF(H63="TP3","15"&amp;"_"&amp;C63,L63&amp;"_"&amp;D63)))</f>
        <v/>
      </c>
      <c r="N63" s="0" t="str">
        <f aca="false">E62&amp;IF(F63=1,"T","")</f>
        <v/>
      </c>
      <c r="O63" s="0" t="str">
        <f aca="false">IFERROR(((IF(L63=1,0,IF(L63=15,VARIÁVEIS!$B$34,((MID(C63,1,(SEARCH(".",C63,1)-1))&amp;","&amp;MID(C63,(SEARCH(".",C63,1)+1),1))&amp;"0")*1)))*1),"")</f>
        <v/>
      </c>
      <c r="P63" s="0" t="str">
        <f aca="false">(IFERROR(D63/32,""))</f>
        <v/>
      </c>
    </row>
    <row r="64" customFormat="false" ht="12.75" hidden="false" customHeight="false" outlineLevel="0" collapsed="false">
      <c r="A64" s="0" t="str">
        <f aca="false">IF('Leitura .bpp --&gt; .csv'!F108="","",'Leitura .bpp --&gt; .csv'!F108)</f>
        <v/>
      </c>
      <c r="B64" s="0" t="str">
        <f aca="false">IF('Leitura .bpp --&gt; .csv'!G108="","",'Leitura .bpp --&gt; .csv'!G108)</f>
        <v/>
      </c>
      <c r="C64" s="0" t="str">
        <f aca="false">IF('Leitura .bpp --&gt; .csv'!H108="","",'Leitura .bpp --&gt; .csv'!H108)</f>
        <v/>
      </c>
      <c r="D64" s="0" t="str">
        <f aca="false">IF('Leitura .bpp --&gt; .csv'!I108="","",'Leitura .bpp --&gt; .csv'!I108)</f>
        <v/>
      </c>
      <c r="E64" s="0" t="str">
        <f aca="false">IF('Leitura .bpp --&gt; .csv'!L108="","",'Leitura .bpp --&gt; .csv'!L108)</f>
        <v/>
      </c>
      <c r="F64" s="0" t="str">
        <f aca="false">IF('Leitura .bpp --&gt; .csv'!M108="","",'Leitura .bpp --&gt; .csv'!M108)</f>
        <v/>
      </c>
      <c r="G64" s="0" t="str">
        <f aca="false">IF('Leitura .bpp --&gt; .csv'!K108="","",'Leitura .bpp --&gt; .csv'!K108)</f>
        <v/>
      </c>
      <c r="H64" s="0" t="n">
        <f aca="false">IF(A64="",1,IF(A64=" 0 : 1","TP1",IF(A64=" 0 : 3","TP3","CAB")))</f>
        <v>1</v>
      </c>
      <c r="I64" s="0" t="str">
        <f aca="false">IF(A64="","",IF(C65=C64,1,""))</f>
        <v/>
      </c>
      <c r="J64" s="0" t="str">
        <f aca="false">IF(A64="","",IF(C64=C63,1,""))</f>
        <v/>
      </c>
      <c r="K64" s="0" t="str">
        <f aca="false">IF(I64=1,1,IF(J64=1,1,""))</f>
        <v/>
      </c>
      <c r="L64" s="0" t="str">
        <f aca="false">IFERROR(IF(AND(H63="",H64=""),"",IF(H64="TP1",1,IF(H64="TP3",15,IF(AND(A64="",L63=15),"",IF(H63="CAB",L63,L63+1))))),"")</f>
        <v/>
      </c>
      <c r="M64" s="0" t="str">
        <f aca="false">IF(A64="","",IF(H64="TP1","1"&amp;"_"&amp;C64,IF(H64="TP3","15"&amp;"_"&amp;C64,L64&amp;"_"&amp;D64)))</f>
        <v/>
      </c>
      <c r="N64" s="0" t="str">
        <f aca="false">E63&amp;IF(F64=1,"T","")</f>
        <v/>
      </c>
      <c r="O64" s="0" t="str">
        <f aca="false">IFERROR(((IF(L64=1,0,IF(L64=15,VARIÁVEIS!$B$34,((MID(C64,1,(SEARCH(".",C64,1)-1))&amp;","&amp;MID(C64,(SEARCH(".",C64,1)+1),1))&amp;"0")*1)))*1),"")</f>
        <v/>
      </c>
      <c r="P64" s="0" t="str">
        <f aca="false">(IFERROR(D64/32,""))</f>
        <v/>
      </c>
    </row>
    <row r="65" customFormat="false" ht="12.75" hidden="false" customHeight="false" outlineLevel="0" collapsed="false">
      <c r="A65" s="0" t="str">
        <f aca="false">IF('Leitura .bpp --&gt; .csv'!F109="","",'Leitura .bpp --&gt; .csv'!F109)</f>
        <v/>
      </c>
      <c r="B65" s="0" t="str">
        <f aca="false">IF('Leitura .bpp --&gt; .csv'!G109="","",'Leitura .bpp --&gt; .csv'!G109)</f>
        <v/>
      </c>
      <c r="C65" s="0" t="str">
        <f aca="false">IF('Leitura .bpp --&gt; .csv'!H109="","",'Leitura .bpp --&gt; .csv'!H109)</f>
        <v/>
      </c>
      <c r="D65" s="0" t="str">
        <f aca="false">IF('Leitura .bpp --&gt; .csv'!I109="","",'Leitura .bpp --&gt; .csv'!I109)</f>
        <v/>
      </c>
      <c r="E65" s="0" t="str">
        <f aca="false">IF('Leitura .bpp --&gt; .csv'!L109="","",'Leitura .bpp --&gt; .csv'!L109)</f>
        <v/>
      </c>
      <c r="F65" s="0" t="str">
        <f aca="false">IF('Leitura .bpp --&gt; .csv'!M109="","",'Leitura .bpp --&gt; .csv'!M109)</f>
        <v/>
      </c>
      <c r="G65" s="0" t="str">
        <f aca="false">IF('Leitura .bpp --&gt; .csv'!K109="","",'Leitura .bpp --&gt; .csv'!K109)</f>
        <v/>
      </c>
      <c r="H65" s="0" t="n">
        <f aca="false">IF(A65="",1,IF(A65=" 0 : 1","TP1",IF(A65=" 0 : 3","TP3","CAB")))</f>
        <v>1</v>
      </c>
      <c r="I65" s="0" t="str">
        <f aca="false">IF(A65="","",IF(C66=C65,1,""))</f>
        <v/>
      </c>
      <c r="J65" s="0" t="str">
        <f aca="false">IF(A65="","",IF(C65=C64,1,""))</f>
        <v/>
      </c>
      <c r="K65" s="0" t="str">
        <f aca="false">IF(I65=1,1,IF(J65=1,1,""))</f>
        <v/>
      </c>
      <c r="L65" s="0" t="str">
        <f aca="false">IFERROR(IF(AND(H64="",H65=""),"",IF(H65="TP1",1,IF(H65="TP3",15,IF(AND(A65="",L64=15),"",IF(H64="CAB",L64,L64+1))))),"")</f>
        <v/>
      </c>
      <c r="M65" s="0" t="str">
        <f aca="false">IF(A65="","",IF(H65="TP1","1"&amp;"_"&amp;C65,IF(H65="TP3","15"&amp;"_"&amp;C65,L65&amp;"_"&amp;D65)))</f>
        <v/>
      </c>
      <c r="N65" s="0" t="str">
        <f aca="false">E64&amp;IF(F65=1,"T","")</f>
        <v/>
      </c>
      <c r="O65" s="0" t="str">
        <f aca="false">IFERROR(((IF(L65=1,0,IF(L65=15,VARIÁVEIS!$B$34,((MID(C65,1,(SEARCH(".",C65,1)-1))&amp;","&amp;MID(C65,(SEARCH(".",C65,1)+1),1))&amp;"0")*1)))*1),"")</f>
        <v/>
      </c>
      <c r="P65" s="0" t="str">
        <f aca="false">(IFERROR(D65/32,""))</f>
        <v/>
      </c>
    </row>
    <row r="66" customFormat="false" ht="12.75" hidden="false" customHeight="false" outlineLevel="0" collapsed="false">
      <c r="A66" s="0" t="str">
        <f aca="false">IF('Leitura .bpp --&gt; .csv'!F110="","",'Leitura .bpp --&gt; .csv'!F110)</f>
        <v/>
      </c>
      <c r="B66" s="0" t="str">
        <f aca="false">IF('Leitura .bpp --&gt; .csv'!G110="","",'Leitura .bpp --&gt; .csv'!G110)</f>
        <v/>
      </c>
      <c r="C66" s="0" t="str">
        <f aca="false">IF('Leitura .bpp --&gt; .csv'!H110="","",'Leitura .bpp --&gt; .csv'!H110)</f>
        <v/>
      </c>
      <c r="D66" s="0" t="str">
        <f aca="false">IF('Leitura .bpp --&gt; .csv'!I110="","",'Leitura .bpp --&gt; .csv'!I110)</f>
        <v/>
      </c>
      <c r="E66" s="0" t="str">
        <f aca="false">IF('Leitura .bpp --&gt; .csv'!L110="","",'Leitura .bpp --&gt; .csv'!L110)</f>
        <v/>
      </c>
      <c r="F66" s="0" t="str">
        <f aca="false">IF('Leitura .bpp --&gt; .csv'!M110="","",'Leitura .bpp --&gt; .csv'!M110)</f>
        <v/>
      </c>
      <c r="G66" s="0" t="str">
        <f aca="false">IF('Leitura .bpp --&gt; .csv'!K110="","",'Leitura .bpp --&gt; .csv'!K110)</f>
        <v/>
      </c>
      <c r="H66" s="0" t="n">
        <f aca="false">IF(A66="",1,IF(A66=" 0 : 1","TP1",IF(A66=" 0 : 3","TP3","CAB")))</f>
        <v>1</v>
      </c>
      <c r="I66" s="0" t="str">
        <f aca="false">IF(A66="","",IF(C67=C66,1,""))</f>
        <v/>
      </c>
      <c r="J66" s="0" t="str">
        <f aca="false">IF(A66="","",IF(C66=C65,1,""))</f>
        <v/>
      </c>
      <c r="K66" s="0" t="str">
        <f aca="false">IF(I66=1,1,IF(J66=1,1,""))</f>
        <v/>
      </c>
      <c r="L66" s="0" t="str">
        <f aca="false">IFERROR(IF(AND(H65="",H66=""),"",IF(H66="TP1",1,IF(H66="TP3",15,IF(AND(A66="",L65=15),"",IF(H65="CAB",L65,L65+1))))),"")</f>
        <v/>
      </c>
      <c r="M66" s="0" t="str">
        <f aca="false">IF(A66="","",IF(H66="TP1","1"&amp;"_"&amp;C66,IF(H66="TP3","15"&amp;"_"&amp;C66,L66&amp;"_"&amp;D66)))</f>
        <v/>
      </c>
      <c r="N66" s="0" t="str">
        <f aca="false">E65&amp;IF(F66=1,"T","")</f>
        <v/>
      </c>
      <c r="O66" s="0" t="str">
        <f aca="false">IFERROR(((IF(L66=1,0,IF(L66=15,VARIÁVEIS!$B$34,((MID(C66,1,(SEARCH(".",C66,1)-1))&amp;","&amp;MID(C66,(SEARCH(".",C66,1)+1),1))&amp;"0")*1)))*1),"")</f>
        <v/>
      </c>
      <c r="P66" s="0" t="str">
        <f aca="false">(IFERROR(D66/32,""))</f>
        <v/>
      </c>
    </row>
    <row r="67" customFormat="false" ht="12.75" hidden="false" customHeight="false" outlineLevel="0" collapsed="false">
      <c r="A67" s="0" t="str">
        <f aca="false">IF('Leitura .bpp --&gt; .csv'!F111="","",'Leitura .bpp --&gt; .csv'!F111)</f>
        <v/>
      </c>
      <c r="B67" s="0" t="str">
        <f aca="false">IF('Leitura .bpp --&gt; .csv'!G111="","",'Leitura .bpp --&gt; .csv'!G111)</f>
        <v/>
      </c>
      <c r="C67" s="0" t="str">
        <f aca="false">IF('Leitura .bpp --&gt; .csv'!H111="","",'Leitura .bpp --&gt; .csv'!H111)</f>
        <v/>
      </c>
      <c r="D67" s="0" t="str">
        <f aca="false">IF('Leitura .bpp --&gt; .csv'!I111="","",'Leitura .bpp --&gt; .csv'!I111)</f>
        <v/>
      </c>
      <c r="E67" s="0" t="str">
        <f aca="false">IF('Leitura .bpp --&gt; .csv'!L111="","",'Leitura .bpp --&gt; .csv'!L111)</f>
        <v/>
      </c>
      <c r="F67" s="0" t="str">
        <f aca="false">IF('Leitura .bpp --&gt; .csv'!M111="","",'Leitura .bpp --&gt; .csv'!M111)</f>
        <v/>
      </c>
      <c r="G67" s="0" t="str">
        <f aca="false">IF('Leitura .bpp --&gt; .csv'!K111="","",'Leitura .bpp --&gt; .csv'!K111)</f>
        <v/>
      </c>
      <c r="H67" s="0" t="n">
        <f aca="false">IF(A67="",1,IF(A67=" 0 : 1","TP1",IF(A67=" 0 : 3","TP3","CAB")))</f>
        <v>1</v>
      </c>
      <c r="I67" s="0" t="str">
        <f aca="false">IF(A67="","",IF(C68=C67,1,""))</f>
        <v/>
      </c>
      <c r="J67" s="0" t="str">
        <f aca="false">IF(A67="","",IF(C67=C66,1,""))</f>
        <v/>
      </c>
      <c r="K67" s="0" t="str">
        <f aca="false">IF(I67=1,1,IF(J67=1,1,""))</f>
        <v/>
      </c>
      <c r="L67" s="0" t="str">
        <f aca="false">IFERROR(IF(AND(H66="",H67=""),"",IF(H67="TP1",1,IF(H67="TP3",15,IF(AND(A67="",L66=15),"",IF(H66="CAB",L66,L66+1))))),"")</f>
        <v/>
      </c>
      <c r="M67" s="0" t="str">
        <f aca="false">IF(A67="","",IF(H67="TP1","1"&amp;"_"&amp;C67,IF(H67="TP3","15"&amp;"_"&amp;C67,L67&amp;"_"&amp;D67)))</f>
        <v/>
      </c>
      <c r="N67" s="0" t="str">
        <f aca="false">E66&amp;IF(F67=1,"T","")</f>
        <v/>
      </c>
      <c r="O67" s="0" t="str">
        <f aca="false">IFERROR(((IF(L67=1,0,IF(L67=15,VARIÁVEIS!$B$34,((MID(C67,1,(SEARCH(".",C67,1)-1))&amp;","&amp;MID(C67,(SEARCH(".",C67,1)+1),1))&amp;"0")*1)))*1),"")</f>
        <v/>
      </c>
      <c r="P67" s="0" t="str">
        <f aca="false">(IFERROR(D67/32,""))</f>
        <v/>
      </c>
    </row>
    <row r="68" customFormat="false" ht="12.75" hidden="false" customHeight="false" outlineLevel="0" collapsed="false">
      <c r="A68" s="0" t="str">
        <f aca="false">IF('Leitura .bpp --&gt; .csv'!F112="","",'Leitura .bpp --&gt; .csv'!F112)</f>
        <v/>
      </c>
      <c r="B68" s="0" t="str">
        <f aca="false">IF('Leitura .bpp --&gt; .csv'!G112="","",'Leitura .bpp --&gt; .csv'!G112)</f>
        <v/>
      </c>
      <c r="C68" s="0" t="str">
        <f aca="false">IF('Leitura .bpp --&gt; .csv'!H112="","",'Leitura .bpp --&gt; .csv'!H112)</f>
        <v/>
      </c>
      <c r="D68" s="0" t="str">
        <f aca="false">IF('Leitura .bpp --&gt; .csv'!I112="","",'Leitura .bpp --&gt; .csv'!I112)</f>
        <v/>
      </c>
      <c r="E68" s="0" t="str">
        <f aca="false">IF('Leitura .bpp --&gt; .csv'!L112="","",'Leitura .bpp --&gt; .csv'!L112)</f>
        <v/>
      </c>
      <c r="F68" s="0" t="str">
        <f aca="false">IF('Leitura .bpp --&gt; .csv'!M112="","",'Leitura .bpp --&gt; .csv'!M112)</f>
        <v/>
      </c>
      <c r="G68" s="0" t="str">
        <f aca="false">IF('Leitura .bpp --&gt; .csv'!K112="","",'Leitura .bpp --&gt; .csv'!K112)</f>
        <v/>
      </c>
      <c r="H68" s="0" t="n">
        <f aca="false">IF(A68="",1,IF(A68=" 0 : 1","TP1",IF(A68=" 0 : 3","TP3","CAB")))</f>
        <v>1</v>
      </c>
      <c r="I68" s="0" t="str">
        <f aca="false">IF(A68="","",IF(C69=C68,1,""))</f>
        <v/>
      </c>
      <c r="J68" s="0" t="str">
        <f aca="false">IF(A68="","",IF(C68=C67,1,""))</f>
        <v/>
      </c>
      <c r="K68" s="0" t="str">
        <f aca="false">IF(I68=1,1,IF(J68=1,1,""))</f>
        <v/>
      </c>
      <c r="L68" s="0" t="str">
        <f aca="false">IFERROR(IF(AND(H67="",H68=""),"",IF(H68="TP1",1,IF(H68="TP3",15,IF(AND(A68="",L67=15),"",IF(H67="CAB",L67,L67+1))))),"")</f>
        <v/>
      </c>
      <c r="M68" s="0" t="str">
        <f aca="false">IF(A68="","",IF(H68="TP1","1"&amp;"_"&amp;C68,IF(H68="TP3","15"&amp;"_"&amp;C68,L68&amp;"_"&amp;D68)))</f>
        <v/>
      </c>
      <c r="N68" s="0" t="str">
        <f aca="false">E67&amp;IF(F68=1,"T","")</f>
        <v/>
      </c>
      <c r="O68" s="0" t="str">
        <f aca="false">IFERROR(((IF(L68=1,0,IF(L68=15,VARIÁVEIS!$B$34,((MID(C68,1,(SEARCH(".",C68,1)-1))&amp;","&amp;MID(C68,(SEARCH(".",C68,1)+1),1))&amp;"0")*1)))*1),"")</f>
        <v/>
      </c>
      <c r="P68" s="0" t="str">
        <f aca="false">(IFERROR(D68/32,""))</f>
        <v/>
      </c>
    </row>
    <row r="69" customFormat="false" ht="12.75" hidden="false" customHeight="false" outlineLevel="0" collapsed="false">
      <c r="A69" s="0" t="str">
        <f aca="false">IF('Leitura .bpp --&gt; .csv'!F113="","",'Leitura .bpp --&gt; .csv'!F113)</f>
        <v/>
      </c>
      <c r="B69" s="0" t="str">
        <f aca="false">IF('Leitura .bpp --&gt; .csv'!G113="","",'Leitura .bpp --&gt; .csv'!G113)</f>
        <v/>
      </c>
      <c r="C69" s="0" t="str">
        <f aca="false">IF('Leitura .bpp --&gt; .csv'!H113="","",'Leitura .bpp --&gt; .csv'!H113)</f>
        <v/>
      </c>
      <c r="D69" s="0" t="str">
        <f aca="false">IF('Leitura .bpp --&gt; .csv'!I113="","",'Leitura .bpp --&gt; .csv'!I113)</f>
        <v/>
      </c>
      <c r="E69" s="0" t="str">
        <f aca="false">IF('Leitura .bpp --&gt; .csv'!L113="","",'Leitura .bpp --&gt; .csv'!L113)</f>
        <v/>
      </c>
      <c r="F69" s="0" t="str">
        <f aca="false">IF('Leitura .bpp --&gt; .csv'!M113="","",'Leitura .bpp --&gt; .csv'!M113)</f>
        <v/>
      </c>
      <c r="G69" s="0" t="str">
        <f aca="false">IF('Leitura .bpp --&gt; .csv'!K113="","",'Leitura .bpp --&gt; .csv'!K113)</f>
        <v/>
      </c>
      <c r="H69" s="0" t="n">
        <f aca="false">IF(A69="",1,IF(A69=" 0 : 1","TP1",IF(A69=" 0 : 3","TP3","CAB")))</f>
        <v>1</v>
      </c>
      <c r="I69" s="0" t="str">
        <f aca="false">IF(A69="","",IF(C70=C69,1,""))</f>
        <v/>
      </c>
      <c r="J69" s="0" t="str">
        <f aca="false">IF(A69="","",IF(C69=C68,1,""))</f>
        <v/>
      </c>
      <c r="K69" s="0" t="str">
        <f aca="false">IF(I69=1,1,IF(J69=1,1,""))</f>
        <v/>
      </c>
      <c r="L69" s="0" t="str">
        <f aca="false">IFERROR(IF(AND(H68="",H69=""),"",IF(H69="TP1",1,IF(H69="TP3",15,IF(AND(A69="",L68=15),"",IF(H68="CAB",L68,L68+1))))),"")</f>
        <v/>
      </c>
      <c r="M69" s="0" t="str">
        <f aca="false">IF(A69="","",IF(H69="TP1","1"&amp;"_"&amp;C69,IF(H69="TP3","15"&amp;"_"&amp;C69,L69&amp;"_"&amp;D69)))</f>
        <v/>
      </c>
      <c r="N69" s="0" t="str">
        <f aca="false">E68&amp;IF(F69=1,"T","")</f>
        <v/>
      </c>
      <c r="O69" s="0" t="str">
        <f aca="false">IFERROR(((IF(L69=1,0,IF(L69=15,VARIÁVEIS!$B$34,((MID(C69,1,(SEARCH(".",C69,1)-1))&amp;","&amp;MID(C69,(SEARCH(".",C69,1)+1),1))&amp;"0")*1)))*1),"")</f>
        <v/>
      </c>
      <c r="P69" s="0" t="str">
        <f aca="false">(IFERROR(D69/32,""))</f>
        <v/>
      </c>
    </row>
    <row r="70" customFormat="false" ht="12.75" hidden="false" customHeight="false" outlineLevel="0" collapsed="false">
      <c r="A70" s="0" t="str">
        <f aca="false">IF('Leitura .bpp --&gt; .csv'!F114="","",'Leitura .bpp --&gt; .csv'!F114)</f>
        <v/>
      </c>
      <c r="B70" s="0" t="str">
        <f aca="false">IF('Leitura .bpp --&gt; .csv'!G114="","",'Leitura .bpp --&gt; .csv'!G114)</f>
        <v/>
      </c>
      <c r="C70" s="0" t="str">
        <f aca="false">IF('Leitura .bpp --&gt; .csv'!H114="","",'Leitura .bpp --&gt; .csv'!H114)</f>
        <v/>
      </c>
      <c r="D70" s="0" t="str">
        <f aca="false">IF('Leitura .bpp --&gt; .csv'!I114="","",'Leitura .bpp --&gt; .csv'!I114)</f>
        <v/>
      </c>
      <c r="E70" s="0" t="str">
        <f aca="false">IF('Leitura .bpp --&gt; .csv'!L114="","",'Leitura .bpp --&gt; .csv'!L114)</f>
        <v/>
      </c>
      <c r="F70" s="0" t="str">
        <f aca="false">IF('Leitura .bpp --&gt; .csv'!M114="","",'Leitura .bpp --&gt; .csv'!M114)</f>
        <v/>
      </c>
      <c r="G70" s="0" t="str">
        <f aca="false">IF('Leitura .bpp --&gt; .csv'!K114="","",'Leitura .bpp --&gt; .csv'!K114)</f>
        <v/>
      </c>
      <c r="H70" s="0" t="n">
        <f aca="false">IF(A70="",1,IF(A70=" 0 : 1","TP1",IF(A70=" 0 : 3","TP3","CAB")))</f>
        <v>1</v>
      </c>
      <c r="I70" s="0" t="str">
        <f aca="false">IF(A70="","",IF(C71=C70,1,""))</f>
        <v/>
      </c>
      <c r="J70" s="0" t="str">
        <f aca="false">IF(A70="","",IF(C70=C69,1,""))</f>
        <v/>
      </c>
      <c r="K70" s="0" t="str">
        <f aca="false">IF(I70=1,1,IF(J70=1,1,""))</f>
        <v/>
      </c>
      <c r="L70" s="0" t="str">
        <f aca="false">IFERROR(IF(AND(H69="",H70=""),"",IF(H70="TP1",1,IF(H70="TP3",15,IF(AND(A70="",L69=15),"",IF(H69="CAB",L69,L69+1))))),"")</f>
        <v/>
      </c>
      <c r="M70" s="0" t="str">
        <f aca="false">IF(A70="","",IF(H70="TP1","1"&amp;"_"&amp;C70,IF(H70="TP3","15"&amp;"_"&amp;C70,L70&amp;"_"&amp;D70)))</f>
        <v/>
      </c>
      <c r="N70" s="0" t="str">
        <f aca="false">E69&amp;IF(F70=1,"T","")</f>
        <v/>
      </c>
      <c r="O70" s="0" t="str">
        <f aca="false">IFERROR(((IF(L70=1,0,IF(L70=15,VARIÁVEIS!$B$34,((MID(C70,1,(SEARCH(".",C70,1)-1))&amp;","&amp;MID(C70,(SEARCH(".",C70,1)+1),1))&amp;"0")*1)))*1),"")</f>
        <v/>
      </c>
      <c r="P70" s="0" t="str">
        <f aca="false">(IFERROR(D70/32,""))</f>
        <v/>
      </c>
    </row>
    <row r="71" customFormat="false" ht="12.75" hidden="false" customHeight="false" outlineLevel="0" collapsed="false">
      <c r="A71" s="0" t="str">
        <f aca="false">IF('Leitura .bpp --&gt; .csv'!F115="","",'Leitura .bpp --&gt; .csv'!F115)</f>
        <v/>
      </c>
      <c r="B71" s="0" t="str">
        <f aca="false">IF('Leitura .bpp --&gt; .csv'!G115="","",'Leitura .bpp --&gt; .csv'!G115)</f>
        <v/>
      </c>
      <c r="C71" s="0" t="str">
        <f aca="false">IF('Leitura .bpp --&gt; .csv'!H115="","",'Leitura .bpp --&gt; .csv'!H115)</f>
        <v/>
      </c>
      <c r="D71" s="0" t="str">
        <f aca="false">IF('Leitura .bpp --&gt; .csv'!I115="","",'Leitura .bpp --&gt; .csv'!I115)</f>
        <v/>
      </c>
      <c r="E71" s="0" t="str">
        <f aca="false">IF('Leitura .bpp --&gt; .csv'!L115="","",'Leitura .bpp --&gt; .csv'!L115)</f>
        <v/>
      </c>
      <c r="F71" s="0" t="str">
        <f aca="false">IF('Leitura .bpp --&gt; .csv'!M115="","",'Leitura .bpp --&gt; .csv'!M115)</f>
        <v/>
      </c>
      <c r="G71" s="0" t="str">
        <f aca="false">IF('Leitura .bpp --&gt; .csv'!K115="","",'Leitura .bpp --&gt; .csv'!K115)</f>
        <v/>
      </c>
      <c r="H71" s="0" t="n">
        <f aca="false">IF(A71="",1,IF(A71=" 0 : 1","TP1",IF(A71=" 0 : 3","TP3","CAB")))</f>
        <v>1</v>
      </c>
      <c r="I71" s="0" t="str">
        <f aca="false">IF(A71="","",IF(C72=C71,1,""))</f>
        <v/>
      </c>
      <c r="J71" s="0" t="str">
        <f aca="false">IF(A71="","",IF(C71=C70,1,""))</f>
        <v/>
      </c>
      <c r="K71" s="0" t="str">
        <f aca="false">IF(I71=1,1,IF(J71=1,1,""))</f>
        <v/>
      </c>
      <c r="L71" s="0" t="str">
        <f aca="false">IFERROR(IF(AND(H70="",H71=""),"",IF(H71="TP1",1,IF(H71="TP3",15,IF(AND(A71="",L70=15),"",IF(H70="CAB",L70,L70+1))))),"")</f>
        <v/>
      </c>
      <c r="M71" s="0" t="str">
        <f aca="false">IF(A71="","",IF(H71="TP1","1"&amp;"_"&amp;C71,IF(H71="TP3","15"&amp;"_"&amp;C71,L71&amp;"_"&amp;D71)))</f>
        <v/>
      </c>
      <c r="N71" s="0" t="str">
        <f aca="false">E70&amp;IF(F71=1,"T","")</f>
        <v/>
      </c>
      <c r="O71" s="0" t="str">
        <f aca="false">IFERROR(((IF(L71=1,0,IF(L71=15,VARIÁVEIS!$B$34,((MID(C71,1,(SEARCH(".",C71,1)-1))&amp;","&amp;MID(C71,(SEARCH(".",C71,1)+1),1))&amp;"0")*1)))*1),"")</f>
        <v/>
      </c>
      <c r="P71" s="0" t="str">
        <f aca="false">(IFERROR(D71/32,""))</f>
        <v/>
      </c>
    </row>
    <row r="72" customFormat="false" ht="12.75" hidden="false" customHeight="false" outlineLevel="0" collapsed="false">
      <c r="A72" s="0" t="str">
        <f aca="false">IF('Leitura .bpp --&gt; .csv'!F116="","",'Leitura .bpp --&gt; .csv'!F116)</f>
        <v/>
      </c>
      <c r="B72" s="0" t="str">
        <f aca="false">IF('Leitura .bpp --&gt; .csv'!G116="","",'Leitura .bpp --&gt; .csv'!G116)</f>
        <v/>
      </c>
      <c r="C72" s="0" t="str">
        <f aca="false">IF('Leitura .bpp --&gt; .csv'!H116="","",'Leitura .bpp --&gt; .csv'!H116)</f>
        <v/>
      </c>
      <c r="D72" s="0" t="str">
        <f aca="false">IF('Leitura .bpp --&gt; .csv'!I116="","",'Leitura .bpp --&gt; .csv'!I116)</f>
        <v/>
      </c>
      <c r="E72" s="0" t="str">
        <f aca="false">IF('Leitura .bpp --&gt; .csv'!L116="","",'Leitura .bpp --&gt; .csv'!L116)</f>
        <v/>
      </c>
      <c r="F72" s="0" t="str">
        <f aca="false">IF('Leitura .bpp --&gt; .csv'!M116="","",'Leitura .bpp --&gt; .csv'!M116)</f>
        <v/>
      </c>
      <c r="G72" s="0" t="str">
        <f aca="false">IF('Leitura .bpp --&gt; .csv'!K116="","",'Leitura .bpp --&gt; .csv'!K116)</f>
        <v/>
      </c>
      <c r="H72" s="0" t="n">
        <f aca="false">IF(A72="",1,IF(A72=" 0 : 1","TP1",IF(A72=" 0 : 3","TP3","CAB")))</f>
        <v>1</v>
      </c>
      <c r="I72" s="0" t="str">
        <f aca="false">IF(A72="","",IF(C73=C72,1,""))</f>
        <v/>
      </c>
      <c r="J72" s="0" t="str">
        <f aca="false">IF(A72="","",IF(C72=C71,1,""))</f>
        <v/>
      </c>
      <c r="K72" s="0" t="str">
        <f aca="false">IF(I72=1,1,IF(J72=1,1,""))</f>
        <v/>
      </c>
      <c r="L72" s="0" t="str">
        <f aca="false">IFERROR(IF(AND(H71="",H72=""),"",IF(H72="TP1",1,IF(H72="TP3",15,IF(AND(A72="",L71=15),"",IF(H71="CAB",L71,L71+1))))),"")</f>
        <v/>
      </c>
      <c r="M72" s="0" t="str">
        <f aca="false">IF(A72="","",IF(H72="TP1","1"&amp;"_"&amp;C72,IF(H72="TP3","15"&amp;"_"&amp;C72,L72&amp;"_"&amp;D72)))</f>
        <v/>
      </c>
      <c r="N72" s="0" t="str">
        <f aca="false">E71&amp;IF(F72=1,"T","")</f>
        <v/>
      </c>
      <c r="O72" s="0" t="str">
        <f aca="false">IFERROR(((IF(L72=1,0,IF(L72=15,VARIÁVEIS!$B$34,((MID(C72,1,(SEARCH(".",C72,1)-1))&amp;","&amp;MID(C72,(SEARCH(".",C72,1)+1),1))&amp;"0")*1)))*1),"")</f>
        <v/>
      </c>
      <c r="P72" s="0" t="str">
        <f aca="false">(IFERROR(D72/32,""))</f>
        <v/>
      </c>
    </row>
    <row r="73" customFormat="false" ht="12.75" hidden="false" customHeight="false" outlineLevel="0" collapsed="false">
      <c r="A73" s="0" t="str">
        <f aca="false">IF('Leitura .bpp --&gt; .csv'!F117="","",'Leitura .bpp --&gt; .csv'!F117)</f>
        <v/>
      </c>
      <c r="B73" s="0" t="str">
        <f aca="false">IF('Leitura .bpp --&gt; .csv'!G117="","",'Leitura .bpp --&gt; .csv'!G117)</f>
        <v/>
      </c>
      <c r="C73" s="0" t="str">
        <f aca="false">IF('Leitura .bpp --&gt; .csv'!H117="","",'Leitura .bpp --&gt; .csv'!H117)</f>
        <v/>
      </c>
      <c r="D73" s="0" t="str">
        <f aca="false">IF('Leitura .bpp --&gt; .csv'!I117="","",'Leitura .bpp --&gt; .csv'!I117)</f>
        <v/>
      </c>
      <c r="E73" s="0" t="str">
        <f aca="false">IF('Leitura .bpp --&gt; .csv'!L117="","",'Leitura .bpp --&gt; .csv'!L117)</f>
        <v/>
      </c>
      <c r="F73" s="0" t="str">
        <f aca="false">IF('Leitura .bpp --&gt; .csv'!M117="","",'Leitura .bpp --&gt; .csv'!M117)</f>
        <v/>
      </c>
      <c r="G73" s="0" t="str">
        <f aca="false">IF('Leitura .bpp --&gt; .csv'!K117="","",'Leitura .bpp --&gt; .csv'!K117)</f>
        <v/>
      </c>
      <c r="H73" s="0" t="n">
        <f aca="false">IF(A73="",1,IF(A73=" 0 : 1","TP1",IF(A73=" 0 : 3","TP3","CAB")))</f>
        <v>1</v>
      </c>
      <c r="I73" s="0" t="str">
        <f aca="false">IF(A73="","",IF(C74=C73,1,""))</f>
        <v/>
      </c>
      <c r="J73" s="0" t="str">
        <f aca="false">IF(A73="","",IF(C73=C72,1,""))</f>
        <v/>
      </c>
      <c r="K73" s="0" t="str">
        <f aca="false">IF(I73=1,1,IF(J73=1,1,""))</f>
        <v/>
      </c>
      <c r="L73" s="0" t="str">
        <f aca="false">IFERROR(IF(AND(H72="",H73=""),"",IF(H73="TP1",1,IF(H73="TP3",15,IF(AND(A73="",L72=15),"",IF(H72="CAB",L72,L72+1))))),"")</f>
        <v/>
      </c>
      <c r="M73" s="0" t="str">
        <f aca="false">IF(A73="","",IF(H73="TP1","1"&amp;"_"&amp;C73,IF(H73="TP3","15"&amp;"_"&amp;C73,L73&amp;"_"&amp;D73)))</f>
        <v/>
      </c>
      <c r="N73" s="0" t="str">
        <f aca="false">E72&amp;IF(F73=1,"T","")</f>
        <v/>
      </c>
      <c r="O73" s="0" t="str">
        <f aca="false">IFERROR(((IF(L73=1,0,IF(L73=15,VARIÁVEIS!$B$34,((MID(C73,1,(SEARCH(".",C73,1)-1))&amp;","&amp;MID(C73,(SEARCH(".",C73,1)+1),1))&amp;"0")*1)))*1),"")</f>
        <v/>
      </c>
      <c r="P73" s="0" t="str">
        <f aca="false">(IFERROR(D73/32,""))</f>
        <v/>
      </c>
    </row>
    <row r="74" customFormat="false" ht="12.75" hidden="false" customHeight="false" outlineLevel="0" collapsed="false">
      <c r="A74" s="0" t="str">
        <f aca="false">IF('Leitura .bpp --&gt; .csv'!F118="","",'Leitura .bpp --&gt; .csv'!F118)</f>
        <v/>
      </c>
      <c r="B74" s="0" t="str">
        <f aca="false">IF('Leitura .bpp --&gt; .csv'!G118="","",'Leitura .bpp --&gt; .csv'!G118)</f>
        <v/>
      </c>
      <c r="C74" s="0" t="str">
        <f aca="false">IF('Leitura .bpp --&gt; .csv'!H118="","",'Leitura .bpp --&gt; .csv'!H118)</f>
        <v/>
      </c>
      <c r="D74" s="0" t="str">
        <f aca="false">IF('Leitura .bpp --&gt; .csv'!I118="","",'Leitura .bpp --&gt; .csv'!I118)</f>
        <v/>
      </c>
      <c r="E74" s="0" t="str">
        <f aca="false">IF('Leitura .bpp --&gt; .csv'!L118="","",'Leitura .bpp --&gt; .csv'!L118)</f>
        <v/>
      </c>
      <c r="F74" s="0" t="str">
        <f aca="false">IF('Leitura .bpp --&gt; .csv'!M118="","",'Leitura .bpp --&gt; .csv'!M118)</f>
        <v/>
      </c>
      <c r="G74" s="0" t="str">
        <f aca="false">IF('Leitura .bpp --&gt; .csv'!K118="","",'Leitura .bpp --&gt; .csv'!K118)</f>
        <v/>
      </c>
      <c r="H74" s="0" t="n">
        <f aca="false">IF(A74="",1,IF(A74=" 0 : 1","TP1",IF(A74=" 0 : 3","TP3","CAB")))</f>
        <v>1</v>
      </c>
      <c r="I74" s="0" t="str">
        <f aca="false">IF(A74="","",IF(C75=C74,1,""))</f>
        <v/>
      </c>
      <c r="J74" s="0" t="str">
        <f aca="false">IF(A74="","",IF(C74=C73,1,""))</f>
        <v/>
      </c>
      <c r="K74" s="0" t="str">
        <f aca="false">IF(I74=1,1,IF(J74=1,1,""))</f>
        <v/>
      </c>
      <c r="L74" s="0" t="str">
        <f aca="false">IFERROR(IF(AND(H73="",H74=""),"",IF(H74="TP1",1,IF(H74="TP3",15,IF(AND(A74="",L73=15),"",IF(H73="CAB",L73,L73+1))))),"")</f>
        <v/>
      </c>
      <c r="M74" s="0" t="str">
        <f aca="false">IF(A74="","",IF(H74="TP1","1"&amp;"_"&amp;C74,IF(H74="TP3","15"&amp;"_"&amp;C74,L74&amp;"_"&amp;D74)))</f>
        <v/>
      </c>
      <c r="N74" s="0" t="str">
        <f aca="false">E73&amp;IF(F74=1,"T","")</f>
        <v/>
      </c>
      <c r="O74" s="0" t="str">
        <f aca="false">IFERROR(((IF(L74=1,0,IF(L74=15,VARIÁVEIS!$B$34,((MID(C74,1,(SEARCH(".",C74,1)-1))&amp;","&amp;MID(C74,(SEARCH(".",C74,1)+1),1))&amp;"0")*1)))*1),"")</f>
        <v/>
      </c>
      <c r="P74" s="0" t="str">
        <f aca="false">(IFERROR(D74/32,""))</f>
        <v/>
      </c>
    </row>
    <row r="75" customFormat="false" ht="12.75" hidden="false" customHeight="false" outlineLevel="0" collapsed="false">
      <c r="A75" s="0" t="str">
        <f aca="false">IF('Leitura .bpp --&gt; .csv'!F119="","",'Leitura .bpp --&gt; .csv'!F119)</f>
        <v/>
      </c>
      <c r="B75" s="0" t="str">
        <f aca="false">IF('Leitura .bpp --&gt; .csv'!G119="","",'Leitura .bpp --&gt; .csv'!G119)</f>
        <v/>
      </c>
      <c r="C75" s="0" t="str">
        <f aca="false">IF('Leitura .bpp --&gt; .csv'!H119="","",'Leitura .bpp --&gt; .csv'!H119)</f>
        <v/>
      </c>
      <c r="D75" s="0" t="str">
        <f aca="false">IF('Leitura .bpp --&gt; .csv'!I119="","",'Leitura .bpp --&gt; .csv'!I119)</f>
        <v/>
      </c>
      <c r="E75" s="0" t="str">
        <f aca="false">IF('Leitura .bpp --&gt; .csv'!L119="","",'Leitura .bpp --&gt; .csv'!L119)</f>
        <v/>
      </c>
      <c r="F75" s="0" t="str">
        <f aca="false">IF('Leitura .bpp --&gt; .csv'!M119="","",'Leitura .bpp --&gt; .csv'!M119)</f>
        <v/>
      </c>
      <c r="G75" s="0" t="str">
        <f aca="false">IF('Leitura .bpp --&gt; .csv'!K119="","",'Leitura .bpp --&gt; .csv'!K119)</f>
        <v/>
      </c>
      <c r="H75" s="0" t="n">
        <f aca="false">IF(A75="",1,IF(A75=" 0 : 1","TP1",IF(A75=" 0 : 3","TP3","CAB")))</f>
        <v>1</v>
      </c>
      <c r="I75" s="0" t="str">
        <f aca="false">IF(A75="","",IF(C76=C75,1,""))</f>
        <v/>
      </c>
      <c r="J75" s="0" t="str">
        <f aca="false">IF(A75="","",IF(C75=C74,1,""))</f>
        <v/>
      </c>
      <c r="K75" s="0" t="str">
        <f aca="false">IF(I75=1,1,IF(J75=1,1,""))</f>
        <v/>
      </c>
      <c r="L75" s="0" t="str">
        <f aca="false">IFERROR(IF(AND(H74="",H75=""),"",IF(H75="TP1",1,IF(H75="TP3",15,IF(AND(A75="",L74=15),"",IF(H74="CAB",L74,L74+1))))),"")</f>
        <v/>
      </c>
      <c r="M75" s="0" t="str">
        <f aca="false">IF(A75="","",IF(H75="TP1","1"&amp;"_"&amp;C75,IF(H75="TP3","15"&amp;"_"&amp;C75,L75&amp;"_"&amp;D75)))</f>
        <v/>
      </c>
      <c r="N75" s="0" t="str">
        <f aca="false">E74&amp;IF(F75=1,"T","")</f>
        <v/>
      </c>
      <c r="O75" s="0" t="str">
        <f aca="false">IFERROR(((IF(L75=1,0,IF(L75=15,VARIÁVEIS!$B$34,((MID(C75,1,(SEARCH(".",C75,1)-1))&amp;","&amp;MID(C75,(SEARCH(".",C75,1)+1),1))&amp;"0")*1)))*1),"")</f>
        <v/>
      </c>
      <c r="P75" s="0" t="str">
        <f aca="false">(IFERROR(D75/32,""))</f>
        <v/>
      </c>
    </row>
    <row r="76" customFormat="false" ht="12.75" hidden="false" customHeight="false" outlineLevel="0" collapsed="false">
      <c r="A76" s="0" t="str">
        <f aca="false">IF('Leitura .bpp --&gt; .csv'!F120="","",'Leitura .bpp --&gt; .csv'!F120)</f>
        <v/>
      </c>
      <c r="B76" s="0" t="str">
        <f aca="false">IF('Leitura .bpp --&gt; .csv'!G120="","",'Leitura .bpp --&gt; .csv'!G120)</f>
        <v/>
      </c>
      <c r="C76" s="0" t="str">
        <f aca="false">IF('Leitura .bpp --&gt; .csv'!H120="","",'Leitura .bpp --&gt; .csv'!H120)</f>
        <v/>
      </c>
      <c r="D76" s="0" t="str">
        <f aca="false">IF('Leitura .bpp --&gt; .csv'!I120="","",'Leitura .bpp --&gt; .csv'!I120)</f>
        <v/>
      </c>
      <c r="E76" s="0" t="str">
        <f aca="false">IF('Leitura .bpp --&gt; .csv'!L120="","",'Leitura .bpp --&gt; .csv'!L120)</f>
        <v/>
      </c>
      <c r="F76" s="0" t="str">
        <f aca="false">IF('Leitura .bpp --&gt; .csv'!M120="","",'Leitura .bpp --&gt; .csv'!M120)</f>
        <v/>
      </c>
      <c r="G76" s="0" t="str">
        <f aca="false">IF('Leitura .bpp --&gt; .csv'!K120="","",'Leitura .bpp --&gt; .csv'!K120)</f>
        <v/>
      </c>
      <c r="H76" s="0" t="n">
        <f aca="false">IF(A76="",1,IF(A76=" 0 : 1","TP1",IF(A76=" 0 : 3","TP3","CAB")))</f>
        <v>1</v>
      </c>
      <c r="I76" s="0" t="str">
        <f aca="false">IF(A76="","",IF(C77=C76,1,""))</f>
        <v/>
      </c>
      <c r="J76" s="0" t="str">
        <f aca="false">IF(A76="","",IF(C76=C75,1,""))</f>
        <v/>
      </c>
      <c r="K76" s="0" t="str">
        <f aca="false">IF(I76=1,1,IF(J76=1,1,""))</f>
        <v/>
      </c>
      <c r="L76" s="0" t="str">
        <f aca="false">IFERROR(IF(AND(H75="",H76=""),"",IF(H76="TP1",1,IF(H76="TP3",15,IF(AND(A76="",L75=15),"",IF(H75="CAB",L75,L75+1))))),"")</f>
        <v/>
      </c>
      <c r="M76" s="0" t="str">
        <f aca="false">IF(A76="","",IF(H76="TP1","1"&amp;"_"&amp;C76,IF(H76="TP3","15"&amp;"_"&amp;C76,L76&amp;"_"&amp;D76)))</f>
        <v/>
      </c>
      <c r="N76" s="0" t="str">
        <f aca="false">E75&amp;IF(F76=1,"T","")</f>
        <v/>
      </c>
      <c r="O76" s="0" t="str">
        <f aca="false">IFERROR(((IF(L76=1,0,IF(L76=15,VARIÁVEIS!$B$34,((MID(C76,1,(SEARCH(".",C76,1)-1))&amp;","&amp;MID(C76,(SEARCH(".",C76,1)+1),1))&amp;"0")*1)))*1),"")</f>
        <v/>
      </c>
      <c r="P76" s="0" t="str">
        <f aca="false">(IFERROR(D76/32,""))</f>
        <v/>
      </c>
    </row>
    <row r="77" customFormat="false" ht="12.75" hidden="false" customHeight="false" outlineLevel="0" collapsed="false">
      <c r="A77" s="0" t="str">
        <f aca="false">IF('Leitura .bpp --&gt; .csv'!F121="","",'Leitura .bpp --&gt; .csv'!F121)</f>
        <v/>
      </c>
      <c r="B77" s="0" t="str">
        <f aca="false">IF('Leitura .bpp --&gt; .csv'!G121="","",'Leitura .bpp --&gt; .csv'!G121)</f>
        <v/>
      </c>
      <c r="C77" s="0" t="str">
        <f aca="false">IF('Leitura .bpp --&gt; .csv'!H121="","",'Leitura .bpp --&gt; .csv'!H121)</f>
        <v/>
      </c>
      <c r="D77" s="0" t="str">
        <f aca="false">IF('Leitura .bpp --&gt; .csv'!I121="","",'Leitura .bpp --&gt; .csv'!I121)</f>
        <v/>
      </c>
      <c r="E77" s="0" t="str">
        <f aca="false">IF('Leitura .bpp --&gt; .csv'!L121="","",'Leitura .bpp --&gt; .csv'!L121)</f>
        <v/>
      </c>
      <c r="F77" s="0" t="str">
        <f aca="false">IF('Leitura .bpp --&gt; .csv'!M121="","",'Leitura .bpp --&gt; .csv'!M121)</f>
        <v/>
      </c>
      <c r="G77" s="0" t="str">
        <f aca="false">IF('Leitura .bpp --&gt; .csv'!K121="","",'Leitura .bpp --&gt; .csv'!K121)</f>
        <v/>
      </c>
      <c r="H77" s="0" t="n">
        <f aca="false">IF(A77="",1,IF(A77=" 0 : 1","TP1",IF(A77=" 0 : 3","TP3","CAB")))</f>
        <v>1</v>
      </c>
      <c r="I77" s="0" t="str">
        <f aca="false">IF(A77="","",IF(C78=C77,1,""))</f>
        <v/>
      </c>
      <c r="J77" s="0" t="str">
        <f aca="false">IF(A77="","",IF(C77=C76,1,""))</f>
        <v/>
      </c>
      <c r="K77" s="0" t="str">
        <f aca="false">IF(I77=1,1,IF(J77=1,1,""))</f>
        <v/>
      </c>
      <c r="L77" s="0" t="str">
        <f aca="false">IFERROR(IF(AND(H76="",H77=""),"",IF(H77="TP1",1,IF(H77="TP3",15,IF(AND(A77="",L76=15),"",IF(H76="CAB",L76,L76+1))))),"")</f>
        <v/>
      </c>
      <c r="M77" s="0" t="str">
        <f aca="false">IF(A77="","",IF(H77="TP1","1"&amp;"_"&amp;C77,IF(H77="TP3","15"&amp;"_"&amp;C77,L77&amp;"_"&amp;D77)))</f>
        <v/>
      </c>
      <c r="N77" s="0" t="str">
        <f aca="false">E76&amp;IF(F77=1,"T","")</f>
        <v/>
      </c>
      <c r="O77" s="0" t="str">
        <f aca="false">IFERROR(((IF(L77=1,0,IF(L77=15,VARIÁVEIS!$B$34,((MID(C77,1,(SEARCH(".",C77,1)-1))&amp;","&amp;MID(C77,(SEARCH(".",C77,1)+1),1))&amp;"0")*1)))*1),"")</f>
        <v/>
      </c>
      <c r="P77" s="0" t="str">
        <f aca="false">(IFERROR(D77/32,""))</f>
        <v/>
      </c>
    </row>
    <row r="78" customFormat="false" ht="12.75" hidden="false" customHeight="false" outlineLevel="0" collapsed="false">
      <c r="A78" s="0" t="str">
        <f aca="false">IF('Leitura .bpp --&gt; .csv'!F122="","",'Leitura .bpp --&gt; .csv'!F122)</f>
        <v/>
      </c>
      <c r="B78" s="0" t="str">
        <f aca="false">IF('Leitura .bpp --&gt; .csv'!G122="","",'Leitura .bpp --&gt; .csv'!G122)</f>
        <v/>
      </c>
      <c r="C78" s="0" t="str">
        <f aca="false">IF('Leitura .bpp --&gt; .csv'!H122="","",'Leitura .bpp --&gt; .csv'!H122)</f>
        <v/>
      </c>
      <c r="D78" s="0" t="str">
        <f aca="false">IF('Leitura .bpp --&gt; .csv'!I122="","",'Leitura .bpp --&gt; .csv'!I122)</f>
        <v/>
      </c>
      <c r="E78" s="0" t="str">
        <f aca="false">IF('Leitura .bpp --&gt; .csv'!L122="","",'Leitura .bpp --&gt; .csv'!L122)</f>
        <v/>
      </c>
      <c r="F78" s="0" t="str">
        <f aca="false">IF('Leitura .bpp --&gt; .csv'!M122="","",'Leitura .bpp --&gt; .csv'!M122)</f>
        <v/>
      </c>
      <c r="G78" s="0" t="str">
        <f aca="false">IF('Leitura .bpp --&gt; .csv'!K122="","",'Leitura .bpp --&gt; .csv'!K122)</f>
        <v/>
      </c>
      <c r="H78" s="0" t="n">
        <f aca="false">IF(A78="",1,IF(A78=" 0 : 1","TP1",IF(A78=" 0 : 3","TP3","CAB")))</f>
        <v>1</v>
      </c>
      <c r="I78" s="0" t="str">
        <f aca="false">IF(A78="","",IF(C79=C78,1,""))</f>
        <v/>
      </c>
      <c r="J78" s="0" t="str">
        <f aca="false">IF(A78="","",IF(C78=C77,1,""))</f>
        <v/>
      </c>
      <c r="K78" s="0" t="str">
        <f aca="false">IF(I78=1,1,IF(J78=1,1,""))</f>
        <v/>
      </c>
      <c r="L78" s="0" t="str">
        <f aca="false">IFERROR(IF(AND(H77="",H78=""),"",IF(H78="TP1",1,IF(H78="TP3",15,IF(AND(A78="",L77=15),"",IF(H77="CAB",L77,L77+1))))),"")</f>
        <v/>
      </c>
      <c r="M78" s="0" t="str">
        <f aca="false">IF(A78="","",IF(H78="TP1","1"&amp;"_"&amp;C78,IF(H78="TP3","15"&amp;"_"&amp;C78,L78&amp;"_"&amp;D78)))</f>
        <v/>
      </c>
      <c r="N78" s="0" t="str">
        <f aca="false">E77&amp;IF(F78=1,"T","")</f>
        <v/>
      </c>
      <c r="O78" s="0" t="str">
        <f aca="false">IFERROR(((IF(L78=1,0,IF(L78=15,VARIÁVEIS!$B$34,((MID(C78,1,(SEARCH(".",C78,1)-1))&amp;","&amp;MID(C78,(SEARCH(".",C78,1)+1),1))&amp;"0")*1)))*1),"")</f>
        <v/>
      </c>
      <c r="P78" s="0" t="str">
        <f aca="false">(IFERROR(D78/32,""))</f>
        <v/>
      </c>
    </row>
    <row r="79" customFormat="false" ht="12.75" hidden="false" customHeight="false" outlineLevel="0" collapsed="false">
      <c r="A79" s="0" t="str">
        <f aca="false">IF('Leitura .bpp --&gt; .csv'!F123="","",'Leitura .bpp --&gt; .csv'!F123)</f>
        <v/>
      </c>
      <c r="B79" s="0" t="str">
        <f aca="false">IF('Leitura .bpp --&gt; .csv'!G123="","",'Leitura .bpp --&gt; .csv'!G123)</f>
        <v/>
      </c>
      <c r="C79" s="0" t="str">
        <f aca="false">IF('Leitura .bpp --&gt; .csv'!H123="","",'Leitura .bpp --&gt; .csv'!H123)</f>
        <v/>
      </c>
      <c r="D79" s="0" t="str">
        <f aca="false">IF('Leitura .bpp --&gt; .csv'!I123="","",'Leitura .bpp --&gt; .csv'!I123)</f>
        <v/>
      </c>
      <c r="E79" s="0" t="str">
        <f aca="false">IF('Leitura .bpp --&gt; .csv'!L123="","",'Leitura .bpp --&gt; .csv'!L123)</f>
        <v/>
      </c>
      <c r="F79" s="0" t="str">
        <f aca="false">IF('Leitura .bpp --&gt; .csv'!M123="","",'Leitura .bpp --&gt; .csv'!M123)</f>
        <v/>
      </c>
      <c r="G79" s="0" t="str">
        <f aca="false">IF('Leitura .bpp --&gt; .csv'!K123="","",'Leitura .bpp --&gt; .csv'!K123)</f>
        <v/>
      </c>
      <c r="H79" s="0" t="n">
        <f aca="false">IF(A79="",1,IF(A79=" 0 : 1","TP1",IF(A79=" 0 : 3","TP3","CAB")))</f>
        <v>1</v>
      </c>
      <c r="I79" s="0" t="str">
        <f aca="false">IF(A79="","",IF(C80=C79,1,""))</f>
        <v/>
      </c>
      <c r="J79" s="0" t="str">
        <f aca="false">IF(A79="","",IF(C79=C78,1,""))</f>
        <v/>
      </c>
      <c r="K79" s="0" t="str">
        <f aca="false">IF(I79=1,1,IF(J79=1,1,""))</f>
        <v/>
      </c>
      <c r="L79" s="0" t="str">
        <f aca="false">IFERROR(IF(AND(H78="",H79=""),"",IF(H79="TP1",1,IF(H79="TP3",15,IF(AND(A79="",L78=15),"",IF(H78="CAB",L78,L78+1))))),"")</f>
        <v/>
      </c>
      <c r="M79" s="0" t="str">
        <f aca="false">IF(A79="","",IF(H79="TP1","1"&amp;"_"&amp;C79,IF(H79="TP3","15"&amp;"_"&amp;C79,L79&amp;"_"&amp;D79)))</f>
        <v/>
      </c>
      <c r="N79" s="0" t="str">
        <f aca="false">E78&amp;IF(F79=1,"T","")</f>
        <v/>
      </c>
      <c r="O79" s="0" t="str">
        <f aca="false">IFERROR(((IF(L79=1,0,IF(L79=15,VARIÁVEIS!$B$34,((MID(C79,1,(SEARCH(".",C79,1)-1))&amp;","&amp;MID(C79,(SEARCH(".",C79,1)+1),1))&amp;"0")*1)))*1),"")</f>
        <v/>
      </c>
      <c r="P79" s="0" t="str">
        <f aca="false">(IFERROR(D79/32,""))</f>
        <v/>
      </c>
    </row>
    <row r="80" customFormat="false" ht="12.75" hidden="false" customHeight="false" outlineLevel="0" collapsed="false">
      <c r="A80" s="0" t="str">
        <f aca="false">IF('Leitura .bpp --&gt; .csv'!F124="","",'Leitura .bpp --&gt; .csv'!F124)</f>
        <v/>
      </c>
      <c r="B80" s="0" t="str">
        <f aca="false">IF('Leitura .bpp --&gt; .csv'!G124="","",'Leitura .bpp --&gt; .csv'!G124)</f>
        <v/>
      </c>
      <c r="C80" s="0" t="str">
        <f aca="false">IF('Leitura .bpp --&gt; .csv'!H124="","",'Leitura .bpp --&gt; .csv'!H124)</f>
        <v/>
      </c>
      <c r="D80" s="0" t="str">
        <f aca="false">IF('Leitura .bpp --&gt; .csv'!I124="","",'Leitura .bpp --&gt; .csv'!I124)</f>
        <v/>
      </c>
      <c r="E80" s="0" t="str">
        <f aca="false">IF('Leitura .bpp --&gt; .csv'!L124="","",'Leitura .bpp --&gt; .csv'!L124)</f>
        <v/>
      </c>
      <c r="F80" s="0" t="str">
        <f aca="false">IF('Leitura .bpp --&gt; .csv'!M124="","",'Leitura .bpp --&gt; .csv'!M124)</f>
        <v/>
      </c>
      <c r="G80" s="0" t="str">
        <f aca="false">IF('Leitura .bpp --&gt; .csv'!K124="","",'Leitura .bpp --&gt; .csv'!K124)</f>
        <v/>
      </c>
      <c r="H80" s="0" t="n">
        <f aca="false">IF(A80="",1,IF(A80=" 0 : 1","TP1",IF(A80=" 0 : 3","TP3","CAB")))</f>
        <v>1</v>
      </c>
      <c r="I80" s="0" t="str">
        <f aca="false">IF(A80="","",IF(C81=C80,1,""))</f>
        <v/>
      </c>
      <c r="J80" s="0" t="str">
        <f aca="false">IF(A80="","",IF(C80=C79,1,""))</f>
        <v/>
      </c>
      <c r="K80" s="0" t="str">
        <f aca="false">IF(I80=1,1,IF(J80=1,1,""))</f>
        <v/>
      </c>
      <c r="L80" s="0" t="str">
        <f aca="false">IFERROR(IF(AND(H79="",H80=""),"",IF(H80="TP1",1,IF(H80="TP3",15,IF(AND(A80="",L79=15),"",IF(H79="CAB",L79,L79+1))))),"")</f>
        <v/>
      </c>
      <c r="M80" s="0" t="str">
        <f aca="false">IF(A80="","",IF(H80="TP1","1"&amp;"_"&amp;C80,IF(H80="TP3","15"&amp;"_"&amp;C80,L80&amp;"_"&amp;D80)))</f>
        <v/>
      </c>
      <c r="N80" s="0" t="str">
        <f aca="false">E79&amp;IF(F80=1,"T","")</f>
        <v/>
      </c>
      <c r="O80" s="0" t="str">
        <f aca="false">IFERROR(((IF(L80=1,0,IF(L80=15,VARIÁVEIS!$B$34,((MID(C80,1,(SEARCH(".",C80,1)-1))&amp;","&amp;MID(C80,(SEARCH(".",C80,1)+1),1))&amp;"0")*1)))*1),"")</f>
        <v/>
      </c>
      <c r="P80" s="0" t="str">
        <f aca="false">(IFERROR(D80/32,""))</f>
        <v/>
      </c>
    </row>
    <row r="81" customFormat="false" ht="12.75" hidden="false" customHeight="false" outlineLevel="0" collapsed="false">
      <c r="A81" s="0" t="str">
        <f aca="false">IF('Leitura .bpp --&gt; .csv'!F125="","",'Leitura .bpp --&gt; .csv'!F125)</f>
        <v/>
      </c>
      <c r="B81" s="0" t="str">
        <f aca="false">IF('Leitura .bpp --&gt; .csv'!G125="","",'Leitura .bpp --&gt; .csv'!G125)</f>
        <v/>
      </c>
      <c r="C81" s="0" t="str">
        <f aca="false">IF('Leitura .bpp --&gt; .csv'!H125="","",'Leitura .bpp --&gt; .csv'!H125)</f>
        <v/>
      </c>
      <c r="D81" s="0" t="str">
        <f aca="false">IF('Leitura .bpp --&gt; .csv'!I125="","",'Leitura .bpp --&gt; .csv'!I125)</f>
        <v/>
      </c>
      <c r="E81" s="0" t="str">
        <f aca="false">IF('Leitura .bpp --&gt; .csv'!L125="","",'Leitura .bpp --&gt; .csv'!L125)</f>
        <v/>
      </c>
      <c r="F81" s="0" t="str">
        <f aca="false">IF('Leitura .bpp --&gt; .csv'!M125="","",'Leitura .bpp --&gt; .csv'!M125)</f>
        <v/>
      </c>
      <c r="G81" s="0" t="str">
        <f aca="false">IF('Leitura .bpp --&gt; .csv'!K125="","",'Leitura .bpp --&gt; .csv'!K125)</f>
        <v/>
      </c>
      <c r="H81" s="0" t="n">
        <f aca="false">IF(A81="",1,IF(A81=" 0 : 1","TP1",IF(A81=" 0 : 3","TP3","CAB")))</f>
        <v>1</v>
      </c>
      <c r="I81" s="0" t="str">
        <f aca="false">IF(A81="","",IF(C82=C81,1,""))</f>
        <v/>
      </c>
      <c r="J81" s="0" t="str">
        <f aca="false">IF(A81="","",IF(C81=C80,1,""))</f>
        <v/>
      </c>
      <c r="K81" s="0" t="str">
        <f aca="false">IF(I81=1,1,IF(J81=1,1,""))</f>
        <v/>
      </c>
      <c r="L81" s="0" t="str">
        <f aca="false">IFERROR(IF(AND(H80="",H81=""),"",IF(H81="TP1",1,IF(H81="TP3",15,IF(AND(A81="",L80=15),"",IF(H80="CAB",L80,L80+1))))),"")</f>
        <v/>
      </c>
      <c r="M81" s="0" t="str">
        <f aca="false">IF(A81="","",IF(H81="TP1","1"&amp;"_"&amp;C81,IF(H81="TP3","15"&amp;"_"&amp;C81,L81&amp;"_"&amp;D81)))</f>
        <v/>
      </c>
      <c r="N81" s="0" t="str">
        <f aca="false">E80&amp;IF(F81=1,"T","")</f>
        <v/>
      </c>
      <c r="O81" s="0" t="str">
        <f aca="false">IFERROR(((IF(L81=1,0,IF(L81=15,VARIÁVEIS!$B$34,((MID(C81,1,(SEARCH(".",C81,1)-1))&amp;","&amp;MID(C81,(SEARCH(".",C81,1)+1),1))&amp;"0")*1)))*1),"")</f>
        <v/>
      </c>
      <c r="P81" s="0" t="str">
        <f aca="false">(IFERROR(D81/32,""))</f>
        <v/>
      </c>
    </row>
    <row r="82" customFormat="false" ht="12.75" hidden="false" customHeight="false" outlineLevel="0" collapsed="false">
      <c r="A82" s="0" t="str">
        <f aca="false">IF('Leitura .bpp --&gt; .csv'!F126="","",'Leitura .bpp --&gt; .csv'!F126)</f>
        <v/>
      </c>
      <c r="B82" s="0" t="str">
        <f aca="false">IF('Leitura .bpp --&gt; .csv'!G126="","",'Leitura .bpp --&gt; .csv'!G126)</f>
        <v/>
      </c>
      <c r="C82" s="0" t="str">
        <f aca="false">IF('Leitura .bpp --&gt; .csv'!H126="","",'Leitura .bpp --&gt; .csv'!H126)</f>
        <v/>
      </c>
      <c r="D82" s="0" t="str">
        <f aca="false">IF('Leitura .bpp --&gt; .csv'!I126="","",'Leitura .bpp --&gt; .csv'!I126)</f>
        <v/>
      </c>
      <c r="E82" s="0" t="str">
        <f aca="false">IF('Leitura .bpp --&gt; .csv'!L126="","",'Leitura .bpp --&gt; .csv'!L126)</f>
        <v/>
      </c>
      <c r="F82" s="0" t="str">
        <f aca="false">IF('Leitura .bpp --&gt; .csv'!M126="","",'Leitura .bpp --&gt; .csv'!M126)</f>
        <v/>
      </c>
      <c r="G82" s="0" t="str">
        <f aca="false">IF('Leitura .bpp --&gt; .csv'!K126="","",'Leitura .bpp --&gt; .csv'!K126)</f>
        <v/>
      </c>
      <c r="H82" s="0" t="n">
        <f aca="false">IF(A82="",1,IF(A82=" 0 : 1","TP1",IF(A82=" 0 : 3","TP3","CAB")))</f>
        <v>1</v>
      </c>
      <c r="I82" s="0" t="str">
        <f aca="false">IF(A82="","",IF(C83=C82,1,""))</f>
        <v/>
      </c>
      <c r="J82" s="0" t="str">
        <f aca="false">IF(A82="","",IF(C82=C81,1,""))</f>
        <v/>
      </c>
      <c r="K82" s="0" t="str">
        <f aca="false">IF(I82=1,1,IF(J82=1,1,""))</f>
        <v/>
      </c>
      <c r="L82" s="0" t="str">
        <f aca="false">IFERROR(IF(AND(H81="",H82=""),"",IF(H82="TP1",1,IF(H82="TP3",15,IF(AND(A82="",L81=15),"",IF(H81="CAB",L81,L81+1))))),"")</f>
        <v/>
      </c>
      <c r="M82" s="0" t="str">
        <f aca="false">IF(A82="","",IF(H82="TP1","1"&amp;"_"&amp;C82,IF(H82="TP3","15"&amp;"_"&amp;C82,L82&amp;"_"&amp;D82)))</f>
        <v/>
      </c>
      <c r="N82" s="0" t="str">
        <f aca="false">E81&amp;IF(F82=1,"T","")</f>
        <v/>
      </c>
      <c r="O82" s="0" t="str">
        <f aca="false">IFERROR(((IF(L82=1,0,IF(L82=15,VARIÁVEIS!$B$34,((MID(C82,1,(SEARCH(".",C82,1)-1))&amp;","&amp;MID(C82,(SEARCH(".",C82,1)+1),1))&amp;"0")*1)))*1),"")</f>
        <v/>
      </c>
      <c r="P82" s="0" t="str">
        <f aca="false">(IFERROR(D82/32,""))</f>
        <v/>
      </c>
    </row>
    <row r="83" customFormat="false" ht="12.75" hidden="false" customHeight="false" outlineLevel="0" collapsed="false">
      <c r="A83" s="0" t="str">
        <f aca="false">IF('Leitura .bpp --&gt; .csv'!F127="","",'Leitura .bpp --&gt; .csv'!F127)</f>
        <v/>
      </c>
      <c r="B83" s="0" t="str">
        <f aca="false">IF('Leitura .bpp --&gt; .csv'!G127="","",'Leitura .bpp --&gt; .csv'!G127)</f>
        <v/>
      </c>
      <c r="C83" s="0" t="str">
        <f aca="false">IF('Leitura .bpp --&gt; .csv'!H127="","",'Leitura .bpp --&gt; .csv'!H127)</f>
        <v/>
      </c>
      <c r="D83" s="0" t="str">
        <f aca="false">IF('Leitura .bpp --&gt; .csv'!I127="","",'Leitura .bpp --&gt; .csv'!I127)</f>
        <v/>
      </c>
      <c r="E83" s="0" t="str">
        <f aca="false">IF('Leitura .bpp --&gt; .csv'!L127="","",'Leitura .bpp --&gt; .csv'!L127)</f>
        <v/>
      </c>
      <c r="F83" s="0" t="str">
        <f aca="false">IF('Leitura .bpp --&gt; .csv'!M127="","",'Leitura .bpp --&gt; .csv'!M127)</f>
        <v/>
      </c>
      <c r="G83" s="0" t="str">
        <f aca="false">IF('Leitura .bpp --&gt; .csv'!K127="","",'Leitura .bpp --&gt; .csv'!K127)</f>
        <v/>
      </c>
      <c r="H83" s="0" t="n">
        <f aca="false">IF(A83="",1,IF(A83=" 0 : 1","TP1",IF(A83=" 0 : 3","TP3","CAB")))</f>
        <v>1</v>
      </c>
      <c r="I83" s="0" t="str">
        <f aca="false">IF(A83="","",IF(C84=C83,1,""))</f>
        <v/>
      </c>
      <c r="J83" s="0" t="str">
        <f aca="false">IF(A83="","",IF(C83=C82,1,""))</f>
        <v/>
      </c>
      <c r="K83" s="0" t="str">
        <f aca="false">IF(I83=1,1,IF(J83=1,1,""))</f>
        <v/>
      </c>
      <c r="L83" s="0" t="str">
        <f aca="false">IFERROR(IF(AND(H82="",H83=""),"",IF(H83="TP1",1,IF(H83="TP3",15,IF(AND(A83="",L82=15),"",IF(H82="CAB",L82,L82+1))))),"")</f>
        <v/>
      </c>
      <c r="M83" s="0" t="str">
        <f aca="false">IF(A83="","",IF(H83="TP1","1"&amp;"_"&amp;C83,IF(H83="TP3","15"&amp;"_"&amp;C83,L83&amp;"_"&amp;D83)))</f>
        <v/>
      </c>
      <c r="N83" s="0" t="str">
        <f aca="false">E82&amp;IF(F83=1,"T","")</f>
        <v/>
      </c>
      <c r="O83" s="0" t="str">
        <f aca="false">IFERROR(((IF(L83=1,0,IF(L83=15,VARIÁVEIS!$B$34,((MID(C83,1,(SEARCH(".",C83,1)-1))&amp;","&amp;MID(C83,(SEARCH(".",C83,1)+1),1))&amp;"0")*1)))*1),"")</f>
        <v/>
      </c>
      <c r="P83" s="0" t="str">
        <f aca="false">(IFERROR(D83/32,""))</f>
        <v/>
      </c>
    </row>
    <row r="84" customFormat="false" ht="12.75" hidden="false" customHeight="false" outlineLevel="0" collapsed="false">
      <c r="A84" s="0" t="str">
        <f aca="false">IF('Leitura .bpp --&gt; .csv'!F128="","",'Leitura .bpp --&gt; .csv'!F128)</f>
        <v/>
      </c>
      <c r="B84" s="0" t="str">
        <f aca="false">IF('Leitura .bpp --&gt; .csv'!G128="","",'Leitura .bpp --&gt; .csv'!G128)</f>
        <v/>
      </c>
      <c r="C84" s="0" t="str">
        <f aca="false">IF('Leitura .bpp --&gt; .csv'!H128="","",'Leitura .bpp --&gt; .csv'!H128)</f>
        <v/>
      </c>
      <c r="D84" s="0" t="str">
        <f aca="false">IF('Leitura .bpp --&gt; .csv'!I128="","",'Leitura .bpp --&gt; .csv'!I128)</f>
        <v/>
      </c>
      <c r="E84" s="0" t="str">
        <f aca="false">IF('Leitura .bpp --&gt; .csv'!L128="","",'Leitura .bpp --&gt; .csv'!L128)</f>
        <v/>
      </c>
      <c r="F84" s="0" t="str">
        <f aca="false">IF('Leitura .bpp --&gt; .csv'!M128="","",'Leitura .bpp --&gt; .csv'!M128)</f>
        <v/>
      </c>
      <c r="G84" s="0" t="str">
        <f aca="false">IF('Leitura .bpp --&gt; .csv'!K128="","",'Leitura .bpp --&gt; .csv'!K128)</f>
        <v/>
      </c>
      <c r="H84" s="0" t="n">
        <f aca="false">IF(A84="",1,IF(A84=" 0 : 1","TP1",IF(A84=" 0 : 3","TP3","CAB")))</f>
        <v>1</v>
      </c>
      <c r="I84" s="0" t="str">
        <f aca="false">IF(A84="","",IF(C85=C84,1,""))</f>
        <v/>
      </c>
      <c r="J84" s="0" t="str">
        <f aca="false">IF(A84="","",IF(C84=C83,1,""))</f>
        <v/>
      </c>
      <c r="K84" s="0" t="str">
        <f aca="false">IF(I84=1,1,IF(J84=1,1,""))</f>
        <v/>
      </c>
      <c r="L84" s="0" t="str">
        <f aca="false">IFERROR(IF(AND(H83="",H84=""),"",IF(H84="TP1",1,IF(H84="TP3",15,IF(AND(A84="",L83=15),"",IF(H83="CAB",L83,L83+1))))),"")</f>
        <v/>
      </c>
      <c r="M84" s="0" t="str">
        <f aca="false">IF(A84="","",IF(H84="TP1","1"&amp;"_"&amp;C84,IF(H84="TP3","15"&amp;"_"&amp;C84,L84&amp;"_"&amp;D84)))</f>
        <v/>
      </c>
      <c r="N84" s="0" t="str">
        <f aca="false">E83&amp;IF(F84=1,"T","")</f>
        <v/>
      </c>
      <c r="O84" s="0" t="str">
        <f aca="false">IFERROR(((IF(L84=1,0,IF(L84=15,VARIÁVEIS!$B$34,((MID(C84,1,(SEARCH(".",C84,1)-1))&amp;","&amp;MID(C84,(SEARCH(".",C84,1)+1),1))&amp;"0")*1)))*1),"")</f>
        <v/>
      </c>
      <c r="P84" s="0" t="str">
        <f aca="false">(IFERROR(D84/32,""))</f>
        <v/>
      </c>
    </row>
    <row r="85" customFormat="false" ht="12.75" hidden="false" customHeight="false" outlineLevel="0" collapsed="false">
      <c r="A85" s="0" t="str">
        <f aca="false">IF('Leitura .bpp --&gt; .csv'!F129="","",'Leitura .bpp --&gt; .csv'!F129)</f>
        <v/>
      </c>
      <c r="B85" s="0" t="str">
        <f aca="false">IF('Leitura .bpp --&gt; .csv'!G129="","",'Leitura .bpp --&gt; .csv'!G129)</f>
        <v/>
      </c>
      <c r="C85" s="0" t="str">
        <f aca="false">IF('Leitura .bpp --&gt; .csv'!H129="","",'Leitura .bpp --&gt; .csv'!H129)</f>
        <v/>
      </c>
      <c r="D85" s="0" t="str">
        <f aca="false">IF('Leitura .bpp --&gt; .csv'!I129="","",'Leitura .bpp --&gt; .csv'!I129)</f>
        <v/>
      </c>
      <c r="E85" s="0" t="str">
        <f aca="false">IF('Leitura .bpp --&gt; .csv'!L129="","",'Leitura .bpp --&gt; .csv'!L129)</f>
        <v/>
      </c>
      <c r="F85" s="0" t="str">
        <f aca="false">IF('Leitura .bpp --&gt; .csv'!M129="","",'Leitura .bpp --&gt; .csv'!M129)</f>
        <v/>
      </c>
      <c r="G85" s="0" t="str">
        <f aca="false">IF('Leitura .bpp --&gt; .csv'!K129="","",'Leitura .bpp --&gt; .csv'!K129)</f>
        <v/>
      </c>
      <c r="H85" s="0" t="n">
        <f aca="false">IF(A85="",1,IF(A85=" 0 : 1","TP1",IF(A85=" 0 : 3","TP3","CAB")))</f>
        <v>1</v>
      </c>
      <c r="I85" s="0" t="str">
        <f aca="false">IF(A85="","",IF(C86=C85,1,""))</f>
        <v/>
      </c>
      <c r="J85" s="0" t="str">
        <f aca="false">IF(A85="","",IF(C85=C84,1,""))</f>
        <v/>
      </c>
      <c r="K85" s="0" t="str">
        <f aca="false">IF(I85=1,1,IF(J85=1,1,""))</f>
        <v/>
      </c>
      <c r="L85" s="0" t="str">
        <f aca="false">IFERROR(IF(AND(H84="",H85=""),"",IF(H85="TP1",1,IF(H85="TP3",15,IF(AND(A85="",L84=15),"",IF(H84="CAB",L84,L84+1))))),"")</f>
        <v/>
      </c>
      <c r="M85" s="0" t="str">
        <f aca="false">IF(A85="","",IF(H85="TP1","1"&amp;"_"&amp;C85,IF(H85="TP3","15"&amp;"_"&amp;C85,L85&amp;"_"&amp;D85)))</f>
        <v/>
      </c>
      <c r="N85" s="0" t="str">
        <f aca="false">E84&amp;IF(F85=1,"T","")</f>
        <v/>
      </c>
      <c r="O85" s="0" t="str">
        <f aca="false">IFERROR(((IF(L85=1,0,IF(L85=15,VARIÁVEIS!$B$34,((MID(C85,1,(SEARCH(".",C85,1)-1))&amp;","&amp;MID(C85,(SEARCH(".",C85,1)+1),1))&amp;"0")*1)))*1),"")</f>
        <v/>
      </c>
      <c r="P85" s="0" t="str">
        <f aca="false">(IFERROR(D85/32,""))</f>
        <v/>
      </c>
    </row>
    <row r="86" customFormat="false" ht="12.75" hidden="false" customHeight="false" outlineLevel="0" collapsed="false">
      <c r="A86" s="0" t="str">
        <f aca="false">IF('Leitura .bpp --&gt; .csv'!F130="","",'Leitura .bpp --&gt; .csv'!F130)</f>
        <v/>
      </c>
      <c r="B86" s="0" t="str">
        <f aca="false">IF('Leitura .bpp --&gt; .csv'!G130="","",'Leitura .bpp --&gt; .csv'!G130)</f>
        <v/>
      </c>
      <c r="C86" s="0" t="str">
        <f aca="false">IF('Leitura .bpp --&gt; .csv'!H130="","",'Leitura .bpp --&gt; .csv'!H130)</f>
        <v/>
      </c>
      <c r="D86" s="0" t="str">
        <f aca="false">IF('Leitura .bpp --&gt; .csv'!I130="","",'Leitura .bpp --&gt; .csv'!I130)</f>
        <v/>
      </c>
      <c r="E86" s="0" t="str">
        <f aca="false">IF('Leitura .bpp --&gt; .csv'!L130="","",'Leitura .bpp --&gt; .csv'!L130)</f>
        <v/>
      </c>
      <c r="F86" s="0" t="str">
        <f aca="false">IF('Leitura .bpp --&gt; .csv'!M130="","",'Leitura .bpp --&gt; .csv'!M130)</f>
        <v/>
      </c>
      <c r="G86" s="0" t="str">
        <f aca="false">IF('Leitura .bpp --&gt; .csv'!K130="","",'Leitura .bpp --&gt; .csv'!K130)</f>
        <v/>
      </c>
      <c r="H86" s="0" t="n">
        <f aca="false">IF(A86="",1,IF(A86=" 0 : 1","TP1",IF(A86=" 0 : 3","TP3","CAB")))</f>
        <v>1</v>
      </c>
      <c r="I86" s="0" t="str">
        <f aca="false">IF(A86="","",IF(C87=C86,1,""))</f>
        <v/>
      </c>
      <c r="J86" s="0" t="str">
        <f aca="false">IF(A86="","",IF(C86=C85,1,""))</f>
        <v/>
      </c>
      <c r="K86" s="0" t="str">
        <f aca="false">IF(I86=1,1,IF(J86=1,1,""))</f>
        <v/>
      </c>
      <c r="L86" s="0" t="str">
        <f aca="false">IFERROR(IF(AND(H85="",H86=""),"",IF(H86="TP1",1,IF(H86="TP3",15,IF(AND(A86="",L85=15),"",IF(H85="CAB",L85,L85+1))))),"")</f>
        <v/>
      </c>
      <c r="M86" s="0" t="str">
        <f aca="false">IF(A86="","",IF(H86="TP1","1"&amp;"_"&amp;C86,IF(H86="TP3","15"&amp;"_"&amp;C86,L86&amp;"_"&amp;D86)))</f>
        <v/>
      </c>
      <c r="N86" s="0" t="str">
        <f aca="false">E85&amp;IF(F86=1,"T","")</f>
        <v/>
      </c>
      <c r="O86" s="0" t="str">
        <f aca="false">IFERROR(((IF(L86=1,0,IF(L86=15,VARIÁVEIS!$B$34,((MID(C86,1,(SEARCH(".",C86,1)-1))&amp;","&amp;MID(C86,(SEARCH(".",C86,1)+1),1))&amp;"0")*1)))*1),"")</f>
        <v/>
      </c>
      <c r="P86" s="0" t="str">
        <f aca="false">(IFERROR(D86/32,""))</f>
        <v/>
      </c>
    </row>
    <row r="87" customFormat="false" ht="12.75" hidden="false" customHeight="false" outlineLevel="0" collapsed="false">
      <c r="A87" s="0" t="str">
        <f aca="false">IF('Leitura .bpp --&gt; .csv'!F131="","",'Leitura .bpp --&gt; .csv'!F131)</f>
        <v/>
      </c>
      <c r="B87" s="0" t="str">
        <f aca="false">IF('Leitura .bpp --&gt; .csv'!G131="","",'Leitura .bpp --&gt; .csv'!G131)</f>
        <v/>
      </c>
      <c r="C87" s="0" t="str">
        <f aca="false">IF('Leitura .bpp --&gt; .csv'!H131="","",'Leitura .bpp --&gt; .csv'!H131)</f>
        <v/>
      </c>
      <c r="D87" s="0" t="str">
        <f aca="false">IF('Leitura .bpp --&gt; .csv'!I131="","",'Leitura .bpp --&gt; .csv'!I131)</f>
        <v/>
      </c>
      <c r="E87" s="0" t="str">
        <f aca="false">IF('Leitura .bpp --&gt; .csv'!L131="","",'Leitura .bpp --&gt; .csv'!L131)</f>
        <v/>
      </c>
      <c r="F87" s="0" t="str">
        <f aca="false">IF('Leitura .bpp --&gt; .csv'!M131="","",'Leitura .bpp --&gt; .csv'!M131)</f>
        <v/>
      </c>
      <c r="G87" s="0" t="str">
        <f aca="false">IF('Leitura .bpp --&gt; .csv'!K131="","",'Leitura .bpp --&gt; .csv'!K131)</f>
        <v/>
      </c>
      <c r="H87" s="0" t="n">
        <f aca="false">IF(A87="",1,IF(A87=" 0 : 1","TP1",IF(A87=" 0 : 3","TP3","CAB")))</f>
        <v>1</v>
      </c>
      <c r="I87" s="0" t="str">
        <f aca="false">IF(A87="","",IF(C88=C87,1,""))</f>
        <v/>
      </c>
      <c r="J87" s="0" t="str">
        <f aca="false">IF(A87="","",IF(C87=C86,1,""))</f>
        <v/>
      </c>
      <c r="K87" s="0" t="str">
        <f aca="false">IF(I87=1,1,IF(J87=1,1,""))</f>
        <v/>
      </c>
      <c r="L87" s="0" t="str">
        <f aca="false">IFERROR(IF(AND(H86="",H87=""),"",IF(H87="TP1",1,IF(H87="TP3",15,IF(AND(A87="",L86=15),"",IF(H86="CAB",L86,L86+1))))),"")</f>
        <v/>
      </c>
      <c r="M87" s="0" t="str">
        <f aca="false">IF(A87="","",IF(H87="TP1","1"&amp;"_"&amp;C87,IF(H87="TP3","15"&amp;"_"&amp;C87,L87&amp;"_"&amp;D87)))</f>
        <v/>
      </c>
      <c r="N87" s="0" t="str">
        <f aca="false">E86&amp;IF(F87=1,"T","")</f>
        <v/>
      </c>
      <c r="O87" s="0" t="str">
        <f aca="false">IFERROR(((IF(L87=1,0,IF(L87=15,VARIÁVEIS!$B$34,((MID(C87,1,(SEARCH(".",C87,1)-1))&amp;","&amp;MID(C87,(SEARCH(".",C87,1)+1),1))&amp;"0")*1)))*1),"")</f>
        <v/>
      </c>
      <c r="P87" s="0" t="str">
        <f aca="false">(IFERROR(D87/32,""))</f>
        <v/>
      </c>
    </row>
    <row r="88" customFormat="false" ht="12.75" hidden="false" customHeight="false" outlineLevel="0" collapsed="false">
      <c r="A88" s="0" t="str">
        <f aca="false">IF('Leitura .bpp --&gt; .csv'!F132="","",'Leitura .bpp --&gt; .csv'!F132)</f>
        <v/>
      </c>
      <c r="B88" s="0" t="str">
        <f aca="false">IF('Leitura .bpp --&gt; .csv'!G132="","",'Leitura .bpp --&gt; .csv'!G132)</f>
        <v/>
      </c>
      <c r="C88" s="0" t="str">
        <f aca="false">IF('Leitura .bpp --&gt; .csv'!H132="","",'Leitura .bpp --&gt; .csv'!H132)</f>
        <v/>
      </c>
      <c r="D88" s="0" t="str">
        <f aca="false">IF('Leitura .bpp --&gt; .csv'!I132="","",'Leitura .bpp --&gt; .csv'!I132)</f>
        <v/>
      </c>
      <c r="E88" s="0" t="str">
        <f aca="false">IF('Leitura .bpp --&gt; .csv'!L132="","",'Leitura .bpp --&gt; .csv'!L132)</f>
        <v/>
      </c>
      <c r="F88" s="0" t="str">
        <f aca="false">IF('Leitura .bpp --&gt; .csv'!M132="","",'Leitura .bpp --&gt; .csv'!M132)</f>
        <v/>
      </c>
      <c r="G88" s="0" t="str">
        <f aca="false">IF('Leitura .bpp --&gt; .csv'!K132="","",'Leitura .bpp --&gt; .csv'!K132)</f>
        <v/>
      </c>
      <c r="H88" s="0" t="n">
        <f aca="false">IF(A88="",1,IF(A88=" 0 : 1","TP1",IF(A88=" 0 : 3","TP3","CAB")))</f>
        <v>1</v>
      </c>
      <c r="I88" s="0" t="str">
        <f aca="false">IF(A88="","",IF(C89=C88,1,""))</f>
        <v/>
      </c>
      <c r="J88" s="0" t="str">
        <f aca="false">IF(A88="","",IF(C88=C87,1,""))</f>
        <v/>
      </c>
      <c r="K88" s="0" t="str">
        <f aca="false">IF(I88=1,1,IF(J88=1,1,""))</f>
        <v/>
      </c>
      <c r="L88" s="0" t="str">
        <f aca="false">IFERROR(IF(AND(H87="",H88=""),"",IF(H88="TP1",1,IF(H88="TP3",15,IF(AND(A88="",L87=15),"",IF(H87="CAB",L87,L87+1))))),"")</f>
        <v/>
      </c>
      <c r="M88" s="0" t="str">
        <f aca="false">IF(A88="","",IF(H88="TP1","1"&amp;"_"&amp;C88,IF(H88="TP3","15"&amp;"_"&amp;C88,L88&amp;"_"&amp;D88)))</f>
        <v/>
      </c>
      <c r="N88" s="0" t="str">
        <f aca="false">E87&amp;IF(F88=1,"T","")</f>
        <v/>
      </c>
      <c r="O88" s="0" t="str">
        <f aca="false">IFERROR(((IF(L88=1,0,IF(L88=15,VARIÁVEIS!$B$34,((MID(C88,1,(SEARCH(".",C88,1)-1))&amp;","&amp;MID(C88,(SEARCH(".",C88,1)+1),1))&amp;"0")*1)))*1),"")</f>
        <v/>
      </c>
      <c r="P88" s="0" t="str">
        <f aca="false">(IFERROR(D88/32,""))</f>
        <v/>
      </c>
    </row>
    <row r="89" customFormat="false" ht="12.75" hidden="false" customHeight="false" outlineLevel="0" collapsed="false">
      <c r="A89" s="0" t="str">
        <f aca="false">IF('Leitura .bpp --&gt; .csv'!F133="","",'Leitura .bpp --&gt; .csv'!F133)</f>
        <v/>
      </c>
      <c r="B89" s="0" t="str">
        <f aca="false">IF('Leitura .bpp --&gt; .csv'!G133="","",'Leitura .bpp --&gt; .csv'!G133)</f>
        <v/>
      </c>
      <c r="C89" s="0" t="str">
        <f aca="false">IF('Leitura .bpp --&gt; .csv'!H133="","",'Leitura .bpp --&gt; .csv'!H133)</f>
        <v/>
      </c>
      <c r="D89" s="0" t="str">
        <f aca="false">IF('Leitura .bpp --&gt; .csv'!I133="","",'Leitura .bpp --&gt; .csv'!I133)</f>
        <v/>
      </c>
      <c r="E89" s="0" t="str">
        <f aca="false">IF('Leitura .bpp --&gt; .csv'!L133="","",'Leitura .bpp --&gt; .csv'!L133)</f>
        <v/>
      </c>
      <c r="F89" s="0" t="str">
        <f aca="false">IF('Leitura .bpp --&gt; .csv'!M133="","",'Leitura .bpp --&gt; .csv'!M133)</f>
        <v/>
      </c>
      <c r="G89" s="0" t="str">
        <f aca="false">IF('Leitura .bpp --&gt; .csv'!K133="","",'Leitura .bpp --&gt; .csv'!K133)</f>
        <v/>
      </c>
      <c r="H89" s="0" t="n">
        <f aca="false">IF(A89="",1,IF(A89=" 0 : 1","TP1",IF(A89=" 0 : 3","TP3","CAB")))</f>
        <v>1</v>
      </c>
      <c r="I89" s="0" t="str">
        <f aca="false">IF(A89="","",IF(C90=C89,1,""))</f>
        <v/>
      </c>
      <c r="J89" s="0" t="str">
        <f aca="false">IF(A89="","",IF(C89=C88,1,""))</f>
        <v/>
      </c>
      <c r="K89" s="0" t="str">
        <f aca="false">IF(I89=1,1,IF(J89=1,1,""))</f>
        <v/>
      </c>
      <c r="L89" s="0" t="str">
        <f aca="false">IFERROR(IF(AND(H88="",H89=""),"",IF(H89="TP1",1,IF(H89="TP3",15,IF(AND(A89="",L88=15),"",IF(H88="CAB",L88,L88+1))))),"")</f>
        <v/>
      </c>
      <c r="M89" s="0" t="str">
        <f aca="false">IF(A89="","",IF(H89="TP1","1"&amp;"_"&amp;C89,IF(H89="TP3","15"&amp;"_"&amp;C89,L89&amp;"_"&amp;D89)))</f>
        <v/>
      </c>
      <c r="N89" s="0" t="str">
        <f aca="false">E88&amp;IF(F89=1,"T","")</f>
        <v/>
      </c>
      <c r="O89" s="0" t="str">
        <f aca="false">IFERROR(((IF(L89=1,0,IF(L89=15,VARIÁVEIS!$B$34,((MID(C89,1,(SEARCH(".",C89,1)-1))&amp;","&amp;MID(C89,(SEARCH(".",C89,1)+1),1))&amp;"0")*1)))*1),"")</f>
        <v/>
      </c>
      <c r="P89" s="0" t="str">
        <f aca="false">(IFERROR(D89/32,""))</f>
        <v/>
      </c>
    </row>
    <row r="90" customFormat="false" ht="12.75" hidden="false" customHeight="false" outlineLevel="0" collapsed="false">
      <c r="A90" s="0" t="str">
        <f aca="false">IF('Leitura .bpp --&gt; .csv'!F134="","",'Leitura .bpp --&gt; .csv'!F134)</f>
        <v/>
      </c>
      <c r="B90" s="0" t="str">
        <f aca="false">IF('Leitura .bpp --&gt; .csv'!G134="","",'Leitura .bpp --&gt; .csv'!G134)</f>
        <v/>
      </c>
      <c r="C90" s="0" t="str">
        <f aca="false">IF('Leitura .bpp --&gt; .csv'!H134="","",'Leitura .bpp --&gt; .csv'!H134)</f>
        <v/>
      </c>
      <c r="D90" s="0" t="str">
        <f aca="false">IF('Leitura .bpp --&gt; .csv'!I134="","",'Leitura .bpp --&gt; .csv'!I134)</f>
        <v/>
      </c>
      <c r="E90" s="0" t="str">
        <f aca="false">IF('Leitura .bpp --&gt; .csv'!L134="","",'Leitura .bpp --&gt; .csv'!L134)</f>
        <v/>
      </c>
      <c r="F90" s="0" t="str">
        <f aca="false">IF('Leitura .bpp --&gt; .csv'!M134="","",'Leitura .bpp --&gt; .csv'!M134)</f>
        <v/>
      </c>
      <c r="G90" s="0" t="str">
        <f aca="false">IF('Leitura .bpp --&gt; .csv'!K134="","",'Leitura .bpp --&gt; .csv'!K134)</f>
        <v/>
      </c>
      <c r="H90" s="0" t="n">
        <f aca="false">IF(A90="",1,IF(A90=" 0 : 1","TP1",IF(A90=" 0 : 3","TP3","CAB")))</f>
        <v>1</v>
      </c>
      <c r="I90" s="0" t="str">
        <f aca="false">IF(A90="","",IF(C91=C90,1,""))</f>
        <v/>
      </c>
      <c r="J90" s="0" t="str">
        <f aca="false">IF(A90="","",IF(C90=C89,1,""))</f>
        <v/>
      </c>
      <c r="K90" s="0" t="str">
        <f aca="false">IF(I90=1,1,IF(J90=1,1,""))</f>
        <v/>
      </c>
      <c r="L90" s="0" t="str">
        <f aca="false">IFERROR(IF(AND(H89="",H90=""),"",IF(H90="TP1",1,IF(H90="TP3",15,IF(AND(A90="",L89=15),"",IF(H89="CAB",L89,L89+1))))),"")</f>
        <v/>
      </c>
      <c r="M90" s="0" t="str">
        <f aca="false">IF(A90="","",IF(H90="TP1","1"&amp;"_"&amp;C90,IF(H90="TP3","15"&amp;"_"&amp;C90,L90&amp;"_"&amp;D90)))</f>
        <v/>
      </c>
      <c r="N90" s="0" t="str">
        <f aca="false">E89&amp;IF(F90=1,"T","")</f>
        <v/>
      </c>
      <c r="O90" s="0" t="str">
        <f aca="false">IFERROR(((IF(L90=1,0,IF(L90=15,VARIÁVEIS!$B$34,((MID(C90,1,(SEARCH(".",C90,1)-1))&amp;","&amp;MID(C90,(SEARCH(".",C90,1)+1),1))&amp;"0")*1)))*1),"")</f>
        <v/>
      </c>
      <c r="P90" s="0" t="str">
        <f aca="false">(IFERROR(D90/32,""))</f>
        <v/>
      </c>
    </row>
    <row r="91" customFormat="false" ht="12.75" hidden="false" customHeight="false" outlineLevel="0" collapsed="false">
      <c r="A91" s="0" t="str">
        <f aca="false">IF('Leitura .bpp --&gt; .csv'!F135="","",'Leitura .bpp --&gt; .csv'!F135)</f>
        <v/>
      </c>
      <c r="B91" s="0" t="str">
        <f aca="false">IF('Leitura .bpp --&gt; .csv'!G135="","",'Leitura .bpp --&gt; .csv'!G135)</f>
        <v/>
      </c>
      <c r="C91" s="0" t="str">
        <f aca="false">IF('Leitura .bpp --&gt; .csv'!H135="","",'Leitura .bpp --&gt; .csv'!H135)</f>
        <v/>
      </c>
      <c r="D91" s="0" t="str">
        <f aca="false">IF('Leitura .bpp --&gt; .csv'!I135="","",'Leitura .bpp --&gt; .csv'!I135)</f>
        <v/>
      </c>
      <c r="E91" s="0" t="str">
        <f aca="false">IF('Leitura .bpp --&gt; .csv'!L135="","",'Leitura .bpp --&gt; .csv'!L135)</f>
        <v/>
      </c>
      <c r="F91" s="0" t="str">
        <f aca="false">IF('Leitura .bpp --&gt; .csv'!M135="","",'Leitura .bpp --&gt; .csv'!M135)</f>
        <v/>
      </c>
      <c r="G91" s="0" t="str">
        <f aca="false">IF('Leitura .bpp --&gt; .csv'!K135="","",'Leitura .bpp --&gt; .csv'!K135)</f>
        <v/>
      </c>
      <c r="H91" s="0" t="n">
        <f aca="false">IF(A91="",1,IF(A91=" 0 : 1","TP1",IF(A91=" 0 : 3","TP3","CAB")))</f>
        <v>1</v>
      </c>
      <c r="I91" s="0" t="str">
        <f aca="false">IF(A91="","",IF(C92=C91,1,""))</f>
        <v/>
      </c>
      <c r="J91" s="0" t="str">
        <f aca="false">IF(A91="","",IF(C91=C90,1,""))</f>
        <v/>
      </c>
      <c r="K91" s="0" t="str">
        <f aca="false">IF(I91=1,1,IF(J91=1,1,""))</f>
        <v/>
      </c>
      <c r="L91" s="0" t="str">
        <f aca="false">IFERROR(IF(AND(H90="",H91=""),"",IF(H91="TP1",1,IF(H91="TP3",15,IF(AND(A91="",L90=15),"",IF(H90="CAB",L90,L90+1))))),"")</f>
        <v/>
      </c>
      <c r="M91" s="0" t="str">
        <f aca="false">IF(A91="","",IF(H91="TP1","1"&amp;"_"&amp;C91,IF(H91="TP3","15"&amp;"_"&amp;C91,L91&amp;"_"&amp;D91)))</f>
        <v/>
      </c>
      <c r="N91" s="0" t="str">
        <f aca="false">E90&amp;IF(F91=1,"T","")</f>
        <v/>
      </c>
      <c r="O91" s="0" t="str">
        <f aca="false">IFERROR(((IF(L91=1,0,IF(L91=15,VARIÁVEIS!$B$34,((MID(C91,1,(SEARCH(".",C91,1)-1))&amp;","&amp;MID(C91,(SEARCH(".",C91,1)+1),1))&amp;"0")*1)))*1),"")</f>
        <v/>
      </c>
      <c r="P91" s="0" t="str">
        <f aca="false">(IFERROR(D91/32,""))</f>
        <v/>
      </c>
    </row>
    <row r="92" customFormat="false" ht="12.75" hidden="false" customHeight="false" outlineLevel="0" collapsed="false">
      <c r="A92" s="0" t="str">
        <f aca="false">IF('Leitura .bpp --&gt; .csv'!F136="","",'Leitura .bpp --&gt; .csv'!F136)</f>
        <v/>
      </c>
      <c r="B92" s="0" t="str">
        <f aca="false">IF('Leitura .bpp --&gt; .csv'!G136="","",'Leitura .bpp --&gt; .csv'!G136)</f>
        <v/>
      </c>
      <c r="C92" s="0" t="str">
        <f aca="false">IF('Leitura .bpp --&gt; .csv'!H136="","",'Leitura .bpp --&gt; .csv'!H136)</f>
        <v/>
      </c>
      <c r="D92" s="0" t="str">
        <f aca="false">IF('Leitura .bpp --&gt; .csv'!I136="","",'Leitura .bpp --&gt; .csv'!I136)</f>
        <v/>
      </c>
      <c r="E92" s="0" t="str">
        <f aca="false">IF('Leitura .bpp --&gt; .csv'!L136="","",'Leitura .bpp --&gt; .csv'!L136)</f>
        <v/>
      </c>
      <c r="F92" s="0" t="str">
        <f aca="false">IF('Leitura .bpp --&gt; .csv'!M136="","",'Leitura .bpp --&gt; .csv'!M136)</f>
        <v/>
      </c>
      <c r="G92" s="0" t="str">
        <f aca="false">IF('Leitura .bpp --&gt; .csv'!K136="","",'Leitura .bpp --&gt; .csv'!K136)</f>
        <v/>
      </c>
      <c r="H92" s="0" t="n">
        <f aca="false">IF(A92="",1,IF(A92=" 0 : 1","TP1",IF(A92=" 0 : 3","TP3","CAB")))</f>
        <v>1</v>
      </c>
      <c r="I92" s="0" t="str">
        <f aca="false">IF(A92="","",IF(C93=C92,1,""))</f>
        <v/>
      </c>
      <c r="J92" s="0" t="str">
        <f aca="false">IF(A92="","",IF(C92=C91,1,""))</f>
        <v/>
      </c>
      <c r="K92" s="0" t="str">
        <f aca="false">IF(I92=1,1,IF(J92=1,1,""))</f>
        <v/>
      </c>
      <c r="L92" s="0" t="str">
        <f aca="false">IFERROR(IF(AND(H91="",H92=""),"",IF(H92="TP1",1,IF(H92="TP3",15,IF(AND(A92="",L91=15),"",IF(H91="CAB",L91,L91+1))))),"")</f>
        <v/>
      </c>
      <c r="M92" s="0" t="str">
        <f aca="false">IF(A92="","",IF(H92="TP1","1"&amp;"_"&amp;C92,IF(H92="TP3","15"&amp;"_"&amp;C92,L92&amp;"_"&amp;D92)))</f>
        <v/>
      </c>
      <c r="N92" s="0" t="str">
        <f aca="false">E91&amp;IF(F92=1,"T","")</f>
        <v/>
      </c>
      <c r="O92" s="0" t="str">
        <f aca="false">IFERROR(((IF(L92=1,0,IF(L92=15,VARIÁVEIS!$B$34,((MID(C92,1,(SEARCH(".",C92,1)-1))&amp;","&amp;MID(C92,(SEARCH(".",C92,1)+1),1))&amp;"0")*1)))*1),"")</f>
        <v/>
      </c>
      <c r="P92" s="0" t="str">
        <f aca="false">(IFERROR(D92/32,""))</f>
        <v/>
      </c>
    </row>
    <row r="93" customFormat="false" ht="12.75" hidden="false" customHeight="false" outlineLevel="0" collapsed="false">
      <c r="A93" s="0" t="str">
        <f aca="false">IF('Leitura .bpp --&gt; .csv'!F137="","",'Leitura .bpp --&gt; .csv'!F137)</f>
        <v/>
      </c>
      <c r="B93" s="0" t="str">
        <f aca="false">IF('Leitura .bpp --&gt; .csv'!G137="","",'Leitura .bpp --&gt; .csv'!G137)</f>
        <v/>
      </c>
      <c r="C93" s="0" t="str">
        <f aca="false">IF('Leitura .bpp --&gt; .csv'!H137="","",'Leitura .bpp --&gt; .csv'!H137)</f>
        <v/>
      </c>
      <c r="D93" s="0" t="str">
        <f aca="false">IF('Leitura .bpp --&gt; .csv'!I137="","",'Leitura .bpp --&gt; .csv'!I137)</f>
        <v/>
      </c>
      <c r="E93" s="0" t="str">
        <f aca="false">IF('Leitura .bpp --&gt; .csv'!L137="","",'Leitura .bpp --&gt; .csv'!L137)</f>
        <v/>
      </c>
      <c r="F93" s="0" t="str">
        <f aca="false">IF('Leitura .bpp --&gt; .csv'!M137="","",'Leitura .bpp --&gt; .csv'!M137)</f>
        <v/>
      </c>
      <c r="G93" s="0" t="str">
        <f aca="false">IF('Leitura .bpp --&gt; .csv'!K137="","",'Leitura .bpp --&gt; .csv'!K137)</f>
        <v/>
      </c>
      <c r="H93" s="0" t="n">
        <f aca="false">IF(A93="",1,IF(A93=" 0 : 1","TP1",IF(A93=" 0 : 3","TP3","CAB")))</f>
        <v>1</v>
      </c>
      <c r="I93" s="0" t="str">
        <f aca="false">IF(A93="","",IF(C94=C93,1,""))</f>
        <v/>
      </c>
      <c r="J93" s="0" t="str">
        <f aca="false">IF(A93="","",IF(C93=C92,1,""))</f>
        <v/>
      </c>
      <c r="K93" s="0" t="str">
        <f aca="false">IF(I93=1,1,IF(J93=1,1,""))</f>
        <v/>
      </c>
      <c r="L93" s="0" t="str">
        <f aca="false">IFERROR(IF(AND(H92="",H93=""),"",IF(H93="TP1",1,IF(H93="TP3",15,IF(AND(A93="",L92=15),"",IF(H92="CAB",L92,L92+1))))),"")</f>
        <v/>
      </c>
      <c r="M93" s="0" t="str">
        <f aca="false">IF(A93="","",IF(H93="TP1","1"&amp;"_"&amp;C93,IF(H93="TP3","15"&amp;"_"&amp;C93,L93&amp;"_"&amp;D93)))</f>
        <v/>
      </c>
      <c r="N93" s="0" t="str">
        <f aca="false">E92&amp;IF(F93=1,"T","")</f>
        <v/>
      </c>
      <c r="O93" s="0" t="str">
        <f aca="false">IFERROR(((IF(L93=1,0,IF(L93=15,VARIÁVEIS!$B$34,((MID(C93,1,(SEARCH(".",C93,1)-1))&amp;","&amp;MID(C93,(SEARCH(".",C93,1)+1),1))&amp;"0")*1)))*1),"")</f>
        <v/>
      </c>
      <c r="P93" s="0" t="str">
        <f aca="false">(IFERROR(D93/32,""))</f>
        <v/>
      </c>
    </row>
    <row r="94" customFormat="false" ht="12.75" hidden="false" customHeight="false" outlineLevel="0" collapsed="false">
      <c r="A94" s="0" t="str">
        <f aca="false">IF('Leitura .bpp --&gt; .csv'!F138="","",'Leitura .bpp --&gt; .csv'!F138)</f>
        <v/>
      </c>
      <c r="B94" s="0" t="str">
        <f aca="false">IF('Leitura .bpp --&gt; .csv'!G138="","",'Leitura .bpp --&gt; .csv'!G138)</f>
        <v/>
      </c>
      <c r="C94" s="0" t="str">
        <f aca="false">IF('Leitura .bpp --&gt; .csv'!H138="","",'Leitura .bpp --&gt; .csv'!H138)</f>
        <v/>
      </c>
      <c r="D94" s="0" t="str">
        <f aca="false">IF('Leitura .bpp --&gt; .csv'!I138="","",'Leitura .bpp --&gt; .csv'!I138)</f>
        <v/>
      </c>
      <c r="E94" s="0" t="str">
        <f aca="false">IF('Leitura .bpp --&gt; .csv'!L138="","",'Leitura .bpp --&gt; .csv'!L138)</f>
        <v/>
      </c>
      <c r="F94" s="0" t="str">
        <f aca="false">IF('Leitura .bpp --&gt; .csv'!M138="","",'Leitura .bpp --&gt; .csv'!M138)</f>
        <v/>
      </c>
      <c r="G94" s="0" t="str">
        <f aca="false">IF('Leitura .bpp --&gt; .csv'!K138="","",'Leitura .bpp --&gt; .csv'!K138)</f>
        <v/>
      </c>
      <c r="H94" s="0" t="n">
        <f aca="false">IF(A94="",1,IF(A94=" 0 : 1","TP1",IF(A94=" 0 : 3","TP3","CAB")))</f>
        <v>1</v>
      </c>
      <c r="I94" s="0" t="str">
        <f aca="false">IF(A94="","",IF(C95=C94,1,""))</f>
        <v/>
      </c>
      <c r="J94" s="0" t="str">
        <f aca="false">IF(A94="","",IF(C94=C93,1,""))</f>
        <v/>
      </c>
      <c r="K94" s="0" t="str">
        <f aca="false">IF(I94=1,1,IF(J94=1,1,""))</f>
        <v/>
      </c>
      <c r="L94" s="0" t="str">
        <f aca="false">IFERROR(IF(AND(H93="",H94=""),"",IF(H94="TP1",1,IF(H94="TP3",15,IF(AND(A94="",L93=15),"",IF(H93="CAB",L93,L93+1))))),"")</f>
        <v/>
      </c>
      <c r="M94" s="0" t="str">
        <f aca="false">IF(A94="","",IF(H94="TP1","1"&amp;"_"&amp;C94,IF(H94="TP3","15"&amp;"_"&amp;C94,L94&amp;"_"&amp;D94)))</f>
        <v/>
      </c>
      <c r="N94" s="0" t="str">
        <f aca="false">E93&amp;IF(F94=1,"T","")</f>
        <v/>
      </c>
      <c r="O94" s="0" t="str">
        <f aca="false">IFERROR(((IF(L94=1,0,IF(L94=15,VARIÁVEIS!$B$34,((MID(C94,1,(SEARCH(".",C94,1)-1))&amp;","&amp;MID(C94,(SEARCH(".",C94,1)+1),1))&amp;"0")*1)))*1),"")</f>
        <v/>
      </c>
      <c r="P94" s="0" t="str">
        <f aca="false">(IFERROR(D94/32,""))</f>
        <v/>
      </c>
    </row>
    <row r="95" customFormat="false" ht="12.75" hidden="false" customHeight="false" outlineLevel="0" collapsed="false">
      <c r="A95" s="0" t="str">
        <f aca="false">IF('Leitura .bpp --&gt; .csv'!F139="","",'Leitura .bpp --&gt; .csv'!F139)</f>
        <v/>
      </c>
      <c r="B95" s="0" t="str">
        <f aca="false">IF('Leitura .bpp --&gt; .csv'!G139="","",'Leitura .bpp --&gt; .csv'!G139)</f>
        <v/>
      </c>
      <c r="C95" s="0" t="str">
        <f aca="false">IF('Leitura .bpp --&gt; .csv'!H139="","",'Leitura .bpp --&gt; .csv'!H139)</f>
        <v/>
      </c>
      <c r="D95" s="0" t="str">
        <f aca="false">IF('Leitura .bpp --&gt; .csv'!I139="","",'Leitura .bpp --&gt; .csv'!I139)</f>
        <v/>
      </c>
      <c r="E95" s="0" t="str">
        <f aca="false">IF('Leitura .bpp --&gt; .csv'!L139="","",'Leitura .bpp --&gt; .csv'!L139)</f>
        <v/>
      </c>
      <c r="F95" s="0" t="str">
        <f aca="false">IF('Leitura .bpp --&gt; .csv'!M139="","",'Leitura .bpp --&gt; .csv'!M139)</f>
        <v/>
      </c>
      <c r="G95" s="0" t="str">
        <f aca="false">IF('Leitura .bpp --&gt; .csv'!K139="","",'Leitura .bpp --&gt; .csv'!K139)</f>
        <v/>
      </c>
      <c r="H95" s="0" t="n">
        <f aca="false">IF(A95="",1,IF(A95=" 0 : 1","TP1",IF(A95=" 0 : 3","TP3","CAB")))</f>
        <v>1</v>
      </c>
      <c r="I95" s="0" t="str">
        <f aca="false">IF(A95="","",IF(C96=C95,1,""))</f>
        <v/>
      </c>
      <c r="J95" s="0" t="str">
        <f aca="false">IF(A95="","",IF(C95=C94,1,""))</f>
        <v/>
      </c>
      <c r="K95" s="0" t="str">
        <f aca="false">IF(I95=1,1,IF(J95=1,1,""))</f>
        <v/>
      </c>
      <c r="L95" s="0" t="str">
        <f aca="false">IFERROR(IF(AND(H94="",H95=""),"",IF(H95="TP1",1,IF(H95="TP3",15,IF(AND(A95="",L94=15),"",IF(H94="CAB",L94,L94+1))))),"")</f>
        <v/>
      </c>
      <c r="M95" s="0" t="str">
        <f aca="false">IF(A95="","",IF(H95="TP1","1"&amp;"_"&amp;C95,IF(H95="TP3","15"&amp;"_"&amp;C95,L95&amp;"_"&amp;D95)))</f>
        <v/>
      </c>
      <c r="N95" s="0" t="str">
        <f aca="false">E94&amp;IF(F95=1,"T","")</f>
        <v/>
      </c>
      <c r="O95" s="0" t="str">
        <f aca="false">IFERROR(((IF(L95=1,0,IF(L95=15,VARIÁVEIS!$B$34,((MID(C95,1,(SEARCH(".",C95,1)-1))&amp;","&amp;MID(C95,(SEARCH(".",C95,1)+1),1))&amp;"0")*1)))*1),"")</f>
        <v/>
      </c>
      <c r="P95" s="0" t="str">
        <f aca="false">(IFERROR(D95/32,""))</f>
        <v/>
      </c>
    </row>
    <row r="96" customFormat="false" ht="12.75" hidden="false" customHeight="false" outlineLevel="0" collapsed="false">
      <c r="A96" s="0" t="str">
        <f aca="false">IF('Leitura .bpp --&gt; .csv'!F140="","",'Leitura .bpp --&gt; .csv'!F140)</f>
        <v/>
      </c>
      <c r="B96" s="0" t="str">
        <f aca="false">IF('Leitura .bpp --&gt; .csv'!G140="","",'Leitura .bpp --&gt; .csv'!G140)</f>
        <v/>
      </c>
      <c r="C96" s="0" t="str">
        <f aca="false">IF('Leitura .bpp --&gt; .csv'!H140="","",'Leitura .bpp --&gt; .csv'!H140)</f>
        <v/>
      </c>
      <c r="D96" s="0" t="str">
        <f aca="false">IF('Leitura .bpp --&gt; .csv'!I140="","",'Leitura .bpp --&gt; .csv'!I140)</f>
        <v/>
      </c>
      <c r="E96" s="0" t="str">
        <f aca="false">IF('Leitura .bpp --&gt; .csv'!L140="","",'Leitura .bpp --&gt; .csv'!L140)</f>
        <v/>
      </c>
      <c r="F96" s="0" t="str">
        <f aca="false">IF('Leitura .bpp --&gt; .csv'!M140="","",'Leitura .bpp --&gt; .csv'!M140)</f>
        <v/>
      </c>
      <c r="G96" s="0" t="str">
        <f aca="false">IF('Leitura .bpp --&gt; .csv'!K140="","",'Leitura .bpp --&gt; .csv'!K140)</f>
        <v/>
      </c>
      <c r="H96" s="0" t="n">
        <f aca="false">IF(A96="",1,IF(A96=" 0 : 1","TP1",IF(A96=" 0 : 3","TP3","CAB")))</f>
        <v>1</v>
      </c>
      <c r="I96" s="0" t="str">
        <f aca="false">IF(A96="","",IF(C97=C96,1,""))</f>
        <v/>
      </c>
      <c r="J96" s="0" t="str">
        <f aca="false">IF(A96="","",IF(C96=C95,1,""))</f>
        <v/>
      </c>
      <c r="K96" s="0" t="str">
        <f aca="false">IF(I96=1,1,IF(J96=1,1,""))</f>
        <v/>
      </c>
      <c r="L96" s="0" t="str">
        <f aca="false">IFERROR(IF(AND(H95="",H96=""),"",IF(H96="TP1",1,IF(H96="TP3",15,IF(AND(A96="",L95=15),"",IF(H95="CAB",L95,L95+1))))),"")</f>
        <v/>
      </c>
      <c r="M96" s="0" t="str">
        <f aca="false">IF(A96="","",IF(H96="TP1","1"&amp;"_"&amp;C96,IF(H96="TP3","15"&amp;"_"&amp;C96,L96&amp;"_"&amp;D96)))</f>
        <v/>
      </c>
      <c r="N96" s="0" t="str">
        <f aca="false">E95&amp;IF(F96=1,"T","")</f>
        <v/>
      </c>
      <c r="O96" s="0" t="str">
        <f aca="false">IFERROR(((IF(L96=1,0,IF(L96=15,VARIÁVEIS!$B$34,((MID(C96,1,(SEARCH(".",C96,1)-1))&amp;","&amp;MID(C96,(SEARCH(".",C96,1)+1),1))&amp;"0")*1)))*1),"")</f>
        <v/>
      </c>
      <c r="P96" s="0" t="str">
        <f aca="false">(IFERROR(D96/32,""))</f>
        <v/>
      </c>
    </row>
    <row r="97" customFormat="false" ht="12.75" hidden="false" customHeight="false" outlineLevel="0" collapsed="false">
      <c r="A97" s="0" t="str">
        <f aca="false">IF('Leitura .bpp --&gt; .csv'!F141="","",'Leitura .bpp --&gt; .csv'!F141)</f>
        <v/>
      </c>
      <c r="B97" s="0" t="str">
        <f aca="false">IF('Leitura .bpp --&gt; .csv'!G141="","",'Leitura .bpp --&gt; .csv'!G141)</f>
        <v/>
      </c>
      <c r="C97" s="0" t="str">
        <f aca="false">IF('Leitura .bpp --&gt; .csv'!H141="","",'Leitura .bpp --&gt; .csv'!H141)</f>
        <v/>
      </c>
      <c r="D97" s="0" t="str">
        <f aca="false">IF('Leitura .bpp --&gt; .csv'!I141="","",'Leitura .bpp --&gt; .csv'!I141)</f>
        <v/>
      </c>
      <c r="E97" s="0" t="str">
        <f aca="false">IF('Leitura .bpp --&gt; .csv'!L141="","",'Leitura .bpp --&gt; .csv'!L141)</f>
        <v/>
      </c>
      <c r="F97" s="0" t="str">
        <f aca="false">IF('Leitura .bpp --&gt; .csv'!M141="","",'Leitura .bpp --&gt; .csv'!M141)</f>
        <v/>
      </c>
      <c r="G97" s="0" t="str">
        <f aca="false">IF('Leitura .bpp --&gt; .csv'!K141="","",'Leitura .bpp --&gt; .csv'!K141)</f>
        <v/>
      </c>
      <c r="H97" s="0" t="n">
        <f aca="false">IF(A97="",1,IF(A97=" 0 : 1","TP1",IF(A97=" 0 : 3","TP3","CAB")))</f>
        <v>1</v>
      </c>
      <c r="I97" s="0" t="str">
        <f aca="false">IF(A97="","",IF(C98=C97,1,""))</f>
        <v/>
      </c>
      <c r="J97" s="0" t="str">
        <f aca="false">IF(A97="","",IF(C97=C96,1,""))</f>
        <v/>
      </c>
      <c r="K97" s="0" t="str">
        <f aca="false">IF(I97=1,1,IF(J97=1,1,""))</f>
        <v/>
      </c>
      <c r="L97" s="0" t="str">
        <f aca="false">IFERROR(IF(AND(H96="",H97=""),"",IF(H97="TP1",1,IF(H97="TP3",15,IF(AND(A97="",L96=15),"",IF(H96="CAB",L96,L96+1))))),"")</f>
        <v/>
      </c>
      <c r="M97" s="0" t="str">
        <f aca="false">IF(A97="","",IF(H97="TP1","1"&amp;"_"&amp;C97,IF(H97="TP3","15"&amp;"_"&amp;C97,L97&amp;"_"&amp;D97)))</f>
        <v/>
      </c>
      <c r="N97" s="0" t="str">
        <f aca="false">E96&amp;IF(F97=1,"T","")</f>
        <v/>
      </c>
      <c r="O97" s="0" t="str">
        <f aca="false">IFERROR(((IF(L97=1,0,IF(L97=15,VARIÁVEIS!$B$34,((MID(C97,1,(SEARCH(".",C97,1)-1))&amp;","&amp;MID(C97,(SEARCH(".",C97,1)+1),1))&amp;"0")*1)))*1),"")</f>
        <v/>
      </c>
      <c r="P97" s="0" t="str">
        <f aca="false">(IFERROR(D97/32,""))</f>
        <v/>
      </c>
    </row>
    <row r="98" customFormat="false" ht="12.75" hidden="false" customHeight="false" outlineLevel="0" collapsed="false">
      <c r="A98" s="0" t="str">
        <f aca="false">IF('Leitura .bpp --&gt; .csv'!F142="","",'Leitura .bpp --&gt; .csv'!F142)</f>
        <v/>
      </c>
      <c r="B98" s="0" t="str">
        <f aca="false">IF('Leitura .bpp --&gt; .csv'!G142="","",'Leitura .bpp --&gt; .csv'!G142)</f>
        <v/>
      </c>
      <c r="C98" s="0" t="str">
        <f aca="false">IF('Leitura .bpp --&gt; .csv'!H142="","",'Leitura .bpp --&gt; .csv'!H142)</f>
        <v/>
      </c>
      <c r="D98" s="0" t="str">
        <f aca="false">IF('Leitura .bpp --&gt; .csv'!I142="","",'Leitura .bpp --&gt; .csv'!I142)</f>
        <v/>
      </c>
      <c r="E98" s="0" t="str">
        <f aca="false">IF('Leitura .bpp --&gt; .csv'!L142="","",'Leitura .bpp --&gt; .csv'!L142)</f>
        <v/>
      </c>
      <c r="F98" s="0" t="str">
        <f aca="false">IF('Leitura .bpp --&gt; .csv'!M142="","",'Leitura .bpp --&gt; .csv'!M142)</f>
        <v/>
      </c>
      <c r="G98" s="0" t="str">
        <f aca="false">IF('Leitura .bpp --&gt; .csv'!K142="","",'Leitura .bpp --&gt; .csv'!K142)</f>
        <v/>
      </c>
      <c r="H98" s="0" t="n">
        <f aca="false">IF(A98="",1,IF(A98=" 0 : 1","TP1",IF(A98=" 0 : 3","TP3","CAB")))</f>
        <v>1</v>
      </c>
      <c r="I98" s="0" t="str">
        <f aca="false">IF(A98="","",IF(C99=C98,1,""))</f>
        <v/>
      </c>
      <c r="J98" s="0" t="str">
        <f aca="false">IF(A98="","",IF(C98=C97,1,""))</f>
        <v/>
      </c>
      <c r="K98" s="0" t="str">
        <f aca="false">IF(I98=1,1,IF(J98=1,1,""))</f>
        <v/>
      </c>
      <c r="L98" s="0" t="str">
        <f aca="false">IFERROR(IF(AND(H97="",H98=""),"",IF(H98="TP1",1,IF(H98="TP3",15,IF(AND(A98="",L97=15),"",IF(H97="CAB",L97,L97+1))))),"")</f>
        <v/>
      </c>
      <c r="M98" s="0" t="str">
        <f aca="false">IF(A98="","",IF(H98="TP1","1"&amp;"_"&amp;C98,IF(H98="TP3","15"&amp;"_"&amp;C98,L98&amp;"_"&amp;D98)))</f>
        <v/>
      </c>
      <c r="N98" s="0" t="str">
        <f aca="false">E97&amp;IF(F98=1,"T","")</f>
        <v/>
      </c>
      <c r="O98" s="0" t="str">
        <f aca="false">IFERROR(((IF(L98=1,0,IF(L98=15,VARIÁVEIS!$B$34,((MID(C98,1,(SEARCH(".",C98,1)-1))&amp;","&amp;MID(C98,(SEARCH(".",C98,1)+1),1))&amp;"0")*1)))*1),"")</f>
        <v/>
      </c>
      <c r="P98" s="0" t="str">
        <f aca="false">(IFERROR(D98/32,""))</f>
        <v/>
      </c>
    </row>
    <row r="99" customFormat="false" ht="12.75" hidden="false" customHeight="false" outlineLevel="0" collapsed="false">
      <c r="A99" s="0" t="str">
        <f aca="false">IF('Leitura .bpp --&gt; .csv'!F143="","",'Leitura .bpp --&gt; .csv'!F143)</f>
        <v/>
      </c>
      <c r="B99" s="0" t="str">
        <f aca="false">IF('Leitura .bpp --&gt; .csv'!G143="","",'Leitura .bpp --&gt; .csv'!G143)</f>
        <v/>
      </c>
      <c r="C99" s="0" t="str">
        <f aca="false">IF('Leitura .bpp --&gt; .csv'!H143="","",'Leitura .bpp --&gt; .csv'!H143)</f>
        <v/>
      </c>
      <c r="D99" s="0" t="str">
        <f aca="false">IF('Leitura .bpp --&gt; .csv'!I143="","",'Leitura .bpp --&gt; .csv'!I143)</f>
        <v/>
      </c>
      <c r="E99" s="0" t="str">
        <f aca="false">IF('Leitura .bpp --&gt; .csv'!L143="","",'Leitura .bpp --&gt; .csv'!L143)</f>
        <v/>
      </c>
      <c r="F99" s="0" t="str">
        <f aca="false">IF('Leitura .bpp --&gt; .csv'!M143="","",'Leitura .bpp --&gt; .csv'!M143)</f>
        <v/>
      </c>
      <c r="G99" s="0" t="str">
        <f aca="false">IF('Leitura .bpp --&gt; .csv'!K143="","",'Leitura .bpp --&gt; .csv'!K143)</f>
        <v/>
      </c>
      <c r="H99" s="0" t="n">
        <f aca="false">IF(A99="",1,IF(A99=" 0 : 1","TP1",IF(A99=" 0 : 3","TP3","CAB")))</f>
        <v>1</v>
      </c>
      <c r="I99" s="0" t="str">
        <f aca="false">IF(A99="","",IF(C100=C99,1,""))</f>
        <v/>
      </c>
      <c r="J99" s="0" t="str">
        <f aca="false">IF(A99="","",IF(C99=C98,1,""))</f>
        <v/>
      </c>
      <c r="K99" s="0" t="str">
        <f aca="false">IF(I99=1,1,IF(J99=1,1,""))</f>
        <v/>
      </c>
      <c r="L99" s="0" t="str">
        <f aca="false">IFERROR(IF(AND(H98="",H99=""),"",IF(H99="TP1",1,IF(H99="TP3",15,IF(AND(A99="",L98=15),"",IF(H98="CAB",L98,L98+1))))),"")</f>
        <v/>
      </c>
      <c r="M99" s="0" t="str">
        <f aca="false">IF(A99="","",IF(H99="TP1","1"&amp;"_"&amp;C99,IF(H99="TP3","15"&amp;"_"&amp;C99,L99&amp;"_"&amp;D99)))</f>
        <v/>
      </c>
      <c r="N99" s="0" t="str">
        <f aca="false">E98&amp;IF(F99=1,"T","")</f>
        <v/>
      </c>
      <c r="O99" s="0" t="str">
        <f aca="false">IFERROR(((IF(L99=1,0,IF(L99=15,VARIÁVEIS!$B$34,((MID(C99,1,(SEARCH(".",C99,1)-1))&amp;","&amp;MID(C99,(SEARCH(".",C99,1)+1),1))&amp;"0")*1)))*1),"")</f>
        <v/>
      </c>
      <c r="P99" s="0" t="str">
        <f aca="false">(IFERROR(D99/32,""))</f>
        <v/>
      </c>
    </row>
    <row r="100" customFormat="false" ht="12.75" hidden="false" customHeight="false" outlineLevel="0" collapsed="false">
      <c r="A100" s="0" t="str">
        <f aca="false">IF('Leitura .bpp --&gt; .csv'!F144="","",'Leitura .bpp --&gt; .csv'!F144)</f>
        <v/>
      </c>
      <c r="B100" s="0" t="str">
        <f aca="false">IF('Leitura .bpp --&gt; .csv'!G144="","",'Leitura .bpp --&gt; .csv'!G144)</f>
        <v/>
      </c>
      <c r="C100" s="0" t="str">
        <f aca="false">IF('Leitura .bpp --&gt; .csv'!H144="","",'Leitura .bpp --&gt; .csv'!H144)</f>
        <v/>
      </c>
      <c r="D100" s="0" t="str">
        <f aca="false">IF('Leitura .bpp --&gt; .csv'!I144="","",'Leitura .bpp --&gt; .csv'!I144)</f>
        <v/>
      </c>
      <c r="E100" s="0" t="str">
        <f aca="false">IF('Leitura .bpp --&gt; .csv'!L144="","",'Leitura .bpp --&gt; .csv'!L144)</f>
        <v/>
      </c>
      <c r="F100" s="0" t="str">
        <f aca="false">IF('Leitura .bpp --&gt; .csv'!M144="","",'Leitura .bpp --&gt; .csv'!M144)</f>
        <v/>
      </c>
      <c r="G100" s="0" t="str">
        <f aca="false">IF('Leitura .bpp --&gt; .csv'!K144="","",'Leitura .bpp --&gt; .csv'!K144)</f>
        <v/>
      </c>
      <c r="H100" s="0" t="n">
        <f aca="false">IF(A100="",1,IF(A100=" 0 : 1","TP1",IF(A100=" 0 : 3","TP3","CAB")))</f>
        <v>1</v>
      </c>
      <c r="I100" s="0" t="str">
        <f aca="false">IF(A100="","",IF(C101=C100,1,""))</f>
        <v/>
      </c>
      <c r="J100" s="0" t="str">
        <f aca="false">IF(A100="","",IF(C100=C99,1,""))</f>
        <v/>
      </c>
      <c r="K100" s="0" t="str">
        <f aca="false">IF(I100=1,1,IF(J100=1,1,""))</f>
        <v/>
      </c>
      <c r="L100" s="0" t="str">
        <f aca="false">IFERROR(IF(AND(H99="",H100=""),"",IF(H100="TP1",1,IF(H100="TP3",15,IF(AND(A100="",L99=15),"",IF(H99="CAB",L99,L99+1))))),"")</f>
        <v/>
      </c>
      <c r="M100" s="0" t="str">
        <f aca="false">IF(A100="","",IF(H100="TP1","1"&amp;"_"&amp;C100,IF(H100="TP3","15"&amp;"_"&amp;C100,L100&amp;"_"&amp;D100)))</f>
        <v/>
      </c>
      <c r="N100" s="0" t="str">
        <f aca="false">E99&amp;IF(F100=1,"T","")</f>
        <v/>
      </c>
      <c r="O100" s="0" t="str">
        <f aca="false">IFERROR(((IF(L100=1,0,IF(L100=15,VARIÁVEIS!$B$34,((MID(C100,1,(SEARCH(".",C100,1)-1))&amp;","&amp;MID(C100,(SEARCH(".",C100,1)+1),1))&amp;"0")*1)))*1),"")</f>
        <v/>
      </c>
      <c r="P100" s="0" t="str">
        <f aca="false">(IFERROR(D100/32,""))</f>
        <v/>
      </c>
    </row>
    <row r="101" customFormat="false" ht="12.75" hidden="false" customHeight="false" outlineLevel="0" collapsed="false">
      <c r="A101" s="0" t="str">
        <f aca="false">IF('Leitura .bpp --&gt; .csv'!F145="","",'Leitura .bpp --&gt; .csv'!F145)</f>
        <v/>
      </c>
      <c r="B101" s="0" t="str">
        <f aca="false">IF('Leitura .bpp --&gt; .csv'!G145="","",'Leitura .bpp --&gt; .csv'!G145)</f>
        <v/>
      </c>
      <c r="C101" s="0" t="str">
        <f aca="false">IF('Leitura .bpp --&gt; .csv'!H145="","",'Leitura .bpp --&gt; .csv'!H145)</f>
        <v/>
      </c>
      <c r="D101" s="0" t="str">
        <f aca="false">IF('Leitura .bpp --&gt; .csv'!I145="","",'Leitura .bpp --&gt; .csv'!I145)</f>
        <v/>
      </c>
      <c r="E101" s="0" t="str">
        <f aca="false">IF('Leitura .bpp --&gt; .csv'!L145="","",'Leitura .bpp --&gt; .csv'!L145)</f>
        <v/>
      </c>
      <c r="F101" s="0" t="str">
        <f aca="false">IF('Leitura .bpp --&gt; .csv'!M145="","",'Leitura .bpp --&gt; .csv'!M145)</f>
        <v/>
      </c>
      <c r="G101" s="0" t="str">
        <f aca="false">IF('Leitura .bpp --&gt; .csv'!K145="","",'Leitura .bpp --&gt; .csv'!K145)</f>
        <v/>
      </c>
      <c r="H101" s="0" t="n">
        <f aca="false">IF(A101="",1,IF(A101=" 0 : 1","TP1",IF(A101=" 0 : 3","TP3","CAB")))</f>
        <v>1</v>
      </c>
      <c r="I101" s="0" t="str">
        <f aca="false">IF(A101="","",IF(C102=C101,1,""))</f>
        <v/>
      </c>
      <c r="J101" s="0" t="str">
        <f aca="false">IF(A101="","",IF(C101=C100,1,""))</f>
        <v/>
      </c>
      <c r="K101" s="0" t="str">
        <f aca="false">IF(I101=1,1,IF(J101=1,1,""))</f>
        <v/>
      </c>
      <c r="L101" s="0" t="str">
        <f aca="false">IFERROR(IF(AND(H100="",H101=""),"",IF(H101="TP1",1,IF(H101="TP3",15,IF(AND(A101="",L100=15),"",IF(H100="CAB",L100,L100+1))))),"")</f>
        <v/>
      </c>
      <c r="M101" s="0" t="str">
        <f aca="false">IF(A101="","",IF(H101="TP1","1"&amp;"_"&amp;C101,IF(H101="TP3","15"&amp;"_"&amp;C101,L101&amp;"_"&amp;D101)))</f>
        <v/>
      </c>
      <c r="N101" s="0" t="str">
        <f aca="false">E100&amp;IF(F101=1,"T","")</f>
        <v/>
      </c>
      <c r="O101" s="0" t="str">
        <f aca="false">IFERROR(((IF(L101=1,0,IF(L101=15,VARIÁVEIS!$B$34,((MID(C101,1,(SEARCH(".",C101,1)-1))&amp;","&amp;MID(C101,(SEARCH(".",C101,1)+1),1))&amp;"0")*1)))*1),"")</f>
        <v/>
      </c>
      <c r="P101" s="0" t="str">
        <f aca="false">(IFERROR(D101/32,""))</f>
        <v/>
      </c>
    </row>
    <row r="102" customFormat="false" ht="12.75" hidden="false" customHeight="false" outlineLevel="0" collapsed="false">
      <c r="A102" s="0" t="str">
        <f aca="false">IF('Leitura .bpp --&gt; .csv'!F146="","",'Leitura .bpp --&gt; .csv'!F146)</f>
        <v/>
      </c>
      <c r="B102" s="0" t="str">
        <f aca="false">IF('Leitura .bpp --&gt; .csv'!G146="","",'Leitura .bpp --&gt; .csv'!G146)</f>
        <v/>
      </c>
      <c r="C102" s="0" t="str">
        <f aca="false">IF('Leitura .bpp --&gt; .csv'!H146="","",'Leitura .bpp --&gt; .csv'!H146)</f>
        <v/>
      </c>
      <c r="D102" s="0" t="str">
        <f aca="false">IF('Leitura .bpp --&gt; .csv'!I146="","",'Leitura .bpp --&gt; .csv'!I146)</f>
        <v/>
      </c>
      <c r="E102" s="0" t="str">
        <f aca="false">IF('Leitura .bpp --&gt; .csv'!L146="","",'Leitura .bpp --&gt; .csv'!L146)</f>
        <v/>
      </c>
      <c r="F102" s="0" t="str">
        <f aca="false">IF('Leitura .bpp --&gt; .csv'!M146="","",'Leitura .bpp --&gt; .csv'!M146)</f>
        <v/>
      </c>
      <c r="G102" s="0" t="str">
        <f aca="false">IF('Leitura .bpp --&gt; .csv'!K146="","",'Leitura .bpp --&gt; .csv'!K146)</f>
        <v/>
      </c>
      <c r="H102" s="0" t="n">
        <f aca="false">IF(A102="",1,IF(A102=" 0 : 1","TP1",IF(A102=" 0 : 3","TP3","CAB")))</f>
        <v>1</v>
      </c>
      <c r="I102" s="0" t="str">
        <f aca="false">IF(A102="","",IF(C103=C102,1,""))</f>
        <v/>
      </c>
      <c r="J102" s="0" t="str">
        <f aca="false">IF(A102="","",IF(C102=C101,1,""))</f>
        <v/>
      </c>
      <c r="K102" s="0" t="str">
        <f aca="false">IF(I102=1,1,IF(J102=1,1,""))</f>
        <v/>
      </c>
      <c r="L102" s="0" t="str">
        <f aca="false">IFERROR(IF(AND(H101="",H102=""),"",IF(H102="TP1",1,IF(H102="TP3",15,IF(AND(A102="",L101=15),"",IF(H101="CAB",L101,L101+1))))),"")</f>
        <v/>
      </c>
      <c r="M102" s="0" t="str">
        <f aca="false">IF(A102="","",IF(H102="TP1","1"&amp;"_"&amp;C102,IF(H102="TP3","15"&amp;"_"&amp;C102,L102&amp;"_"&amp;D102)))</f>
        <v/>
      </c>
      <c r="N102" s="0" t="str">
        <f aca="false">E101&amp;IF(F102=1,"T","")</f>
        <v/>
      </c>
      <c r="O102" s="0" t="str">
        <f aca="false">IFERROR(((IF(L102=1,0,IF(L102=15,VARIÁVEIS!$B$34,((MID(C102,1,(SEARCH(".",C102,1)-1))&amp;","&amp;MID(C102,(SEARCH(".",C102,1)+1),1))&amp;"0")*1)))*1),"")</f>
        <v/>
      </c>
      <c r="P102" s="0" t="str">
        <f aca="false">(IFERROR(D102/32,""))</f>
        <v/>
      </c>
    </row>
    <row r="103" customFormat="false" ht="12.75" hidden="false" customHeight="false" outlineLevel="0" collapsed="false">
      <c r="A103" s="0" t="str">
        <f aca="false">IF('Leitura .bpp --&gt; .csv'!F147="","",'Leitura .bpp --&gt; .csv'!F147)</f>
        <v/>
      </c>
      <c r="B103" s="0" t="str">
        <f aca="false">IF('Leitura .bpp --&gt; .csv'!G147="","",'Leitura .bpp --&gt; .csv'!G147)</f>
        <v/>
      </c>
      <c r="C103" s="0" t="str">
        <f aca="false">IF('Leitura .bpp --&gt; .csv'!H147="","",'Leitura .bpp --&gt; .csv'!H147)</f>
        <v/>
      </c>
      <c r="D103" s="0" t="str">
        <f aca="false">IF('Leitura .bpp --&gt; .csv'!I147="","",'Leitura .bpp --&gt; .csv'!I147)</f>
        <v/>
      </c>
      <c r="E103" s="0" t="str">
        <f aca="false">IF('Leitura .bpp --&gt; .csv'!L147="","",'Leitura .bpp --&gt; .csv'!L147)</f>
        <v/>
      </c>
      <c r="F103" s="0" t="str">
        <f aca="false">IF('Leitura .bpp --&gt; .csv'!M147="","",'Leitura .bpp --&gt; .csv'!M147)</f>
        <v/>
      </c>
      <c r="G103" s="0" t="str">
        <f aca="false">IF('Leitura .bpp --&gt; .csv'!K147="","",'Leitura .bpp --&gt; .csv'!K147)</f>
        <v/>
      </c>
      <c r="H103" s="0" t="n">
        <f aca="false">IF(A103="",1,IF(A103=" 0 : 1","TP1",IF(A103=" 0 : 3","TP3","CAB")))</f>
        <v>1</v>
      </c>
      <c r="I103" s="0" t="str">
        <f aca="false">IF(A103="","",IF(C104=C103,1,""))</f>
        <v/>
      </c>
      <c r="J103" s="0" t="str">
        <f aca="false">IF(A103="","",IF(C103=C102,1,""))</f>
        <v/>
      </c>
      <c r="K103" s="0" t="str">
        <f aca="false">IF(I103=1,1,IF(J103=1,1,""))</f>
        <v/>
      </c>
      <c r="L103" s="0" t="str">
        <f aca="false">IFERROR(IF(AND(H102="",H103=""),"",IF(H103="TP1",1,IF(H103="TP3",15,IF(AND(A103="",L102=15),"",IF(H102="CAB",L102,L102+1))))),"")</f>
        <v/>
      </c>
      <c r="M103" s="0" t="str">
        <f aca="false">IF(A103="","",IF(H103="TP1","1"&amp;"_"&amp;C103,IF(H103="TP3","15"&amp;"_"&amp;C103,L103&amp;"_"&amp;D103)))</f>
        <v/>
      </c>
      <c r="N103" s="0" t="str">
        <f aca="false">E102&amp;IF(F103=1,"T","")</f>
        <v/>
      </c>
      <c r="O103" s="0" t="str">
        <f aca="false">IFERROR(((IF(L103=1,0,IF(L103=15,VARIÁVEIS!$B$34,((MID(C103,1,(SEARCH(".",C103,1)-1))&amp;","&amp;MID(C103,(SEARCH(".",C103,1)+1),1))&amp;"0")*1)))*1),"")</f>
        <v/>
      </c>
      <c r="P103" s="0" t="str">
        <f aca="false">(IFERROR(D103/32,""))</f>
        <v/>
      </c>
    </row>
    <row r="104" customFormat="false" ht="12.75" hidden="false" customHeight="false" outlineLevel="0" collapsed="false">
      <c r="A104" s="0" t="str">
        <f aca="false">IF('Leitura .bpp --&gt; .csv'!F148="","",'Leitura .bpp --&gt; .csv'!F148)</f>
        <v/>
      </c>
      <c r="B104" s="0" t="str">
        <f aca="false">IF('Leitura .bpp --&gt; .csv'!G148="","",'Leitura .bpp --&gt; .csv'!G148)</f>
        <v/>
      </c>
      <c r="C104" s="0" t="str">
        <f aca="false">IF('Leitura .bpp --&gt; .csv'!H148="","",'Leitura .bpp --&gt; .csv'!H148)</f>
        <v/>
      </c>
      <c r="D104" s="0" t="str">
        <f aca="false">IF('Leitura .bpp --&gt; .csv'!I148="","",'Leitura .bpp --&gt; .csv'!I148)</f>
        <v/>
      </c>
      <c r="E104" s="0" t="str">
        <f aca="false">IF('Leitura .bpp --&gt; .csv'!L148="","",'Leitura .bpp --&gt; .csv'!L148)</f>
        <v/>
      </c>
      <c r="F104" s="0" t="str">
        <f aca="false">IF('Leitura .bpp --&gt; .csv'!M148="","",'Leitura .bpp --&gt; .csv'!M148)</f>
        <v/>
      </c>
      <c r="G104" s="0" t="str">
        <f aca="false">IF('Leitura .bpp --&gt; .csv'!K148="","",'Leitura .bpp --&gt; .csv'!K148)</f>
        <v/>
      </c>
      <c r="H104" s="0" t="n">
        <f aca="false">IF(A104="",1,IF(A104=" 0 : 1","TP1",IF(A104=" 0 : 3","TP3","CAB")))</f>
        <v>1</v>
      </c>
      <c r="I104" s="0" t="str">
        <f aca="false">IF(A104="","",IF(C105=C104,1,""))</f>
        <v/>
      </c>
      <c r="J104" s="0" t="str">
        <f aca="false">IF(A104="","",IF(C104=C103,1,""))</f>
        <v/>
      </c>
      <c r="K104" s="0" t="str">
        <f aca="false">IF(I104=1,1,IF(J104=1,1,""))</f>
        <v/>
      </c>
      <c r="L104" s="0" t="str">
        <f aca="false">IFERROR(IF(AND(H103="",H104=""),"",IF(H104="TP1",1,IF(H104="TP3",15,IF(AND(A104="",L103=15),"",IF(H103="CAB",L103,L103+1))))),"")</f>
        <v/>
      </c>
      <c r="M104" s="0" t="str">
        <f aca="false">IF(A104="","",IF(H104="TP1","1"&amp;"_"&amp;C104,IF(H104="TP3","15"&amp;"_"&amp;C104,L104&amp;"_"&amp;D104)))</f>
        <v/>
      </c>
      <c r="N104" s="0" t="str">
        <f aca="false">E103&amp;IF(F104=1,"T","")</f>
        <v/>
      </c>
      <c r="O104" s="0" t="str">
        <f aca="false">IFERROR(((IF(L104=1,0,IF(L104=15,VARIÁVEIS!$B$34,((MID(C104,1,(SEARCH(".",C104,1)-1))&amp;","&amp;MID(C104,(SEARCH(".",C104,1)+1),1))&amp;"0")*1)))*1),"")</f>
        <v/>
      </c>
      <c r="P104" s="0" t="str">
        <f aca="false">(IFERROR(D104/32,""))</f>
        <v/>
      </c>
    </row>
    <row r="105" customFormat="false" ht="12.75" hidden="false" customHeight="false" outlineLevel="0" collapsed="false">
      <c r="A105" s="0" t="str">
        <f aca="false">IF('Leitura .bpp --&gt; .csv'!F149="","",'Leitura .bpp --&gt; .csv'!F149)</f>
        <v/>
      </c>
      <c r="B105" s="0" t="str">
        <f aca="false">IF('Leitura .bpp --&gt; .csv'!G149="","",'Leitura .bpp --&gt; .csv'!G149)</f>
        <v/>
      </c>
      <c r="C105" s="0" t="str">
        <f aca="false">IF('Leitura .bpp --&gt; .csv'!H149="","",'Leitura .bpp --&gt; .csv'!H149)</f>
        <v/>
      </c>
      <c r="D105" s="0" t="str">
        <f aca="false">IF('Leitura .bpp --&gt; .csv'!I149="","",'Leitura .bpp --&gt; .csv'!I149)</f>
        <v/>
      </c>
      <c r="E105" s="0" t="str">
        <f aca="false">IF('Leitura .bpp --&gt; .csv'!L149="","",'Leitura .bpp --&gt; .csv'!L149)</f>
        <v/>
      </c>
      <c r="F105" s="0" t="str">
        <f aca="false">IF('Leitura .bpp --&gt; .csv'!M149="","",'Leitura .bpp --&gt; .csv'!M149)</f>
        <v/>
      </c>
      <c r="G105" s="0" t="str">
        <f aca="false">IF('Leitura .bpp --&gt; .csv'!K149="","",'Leitura .bpp --&gt; .csv'!K149)</f>
        <v/>
      </c>
      <c r="H105" s="0" t="n">
        <f aca="false">IF(A105="",1,IF(A105=" 0 : 1","TP1",IF(A105=" 0 : 3","TP3","CAB")))</f>
        <v>1</v>
      </c>
      <c r="I105" s="0" t="str">
        <f aca="false">IF(A105="","",IF(C106=C105,1,""))</f>
        <v/>
      </c>
      <c r="J105" s="0" t="str">
        <f aca="false">IF(A105="","",IF(C105=C104,1,""))</f>
        <v/>
      </c>
      <c r="K105" s="0" t="str">
        <f aca="false">IF(I105=1,1,IF(J105=1,1,""))</f>
        <v/>
      </c>
      <c r="L105" s="0" t="str">
        <f aca="false">IFERROR(IF(AND(H104="",H105=""),"",IF(H105="TP1",1,IF(H105="TP3",15,IF(AND(A105="",L104=15),"",IF(H104="CAB",L104,L104+1))))),"")</f>
        <v/>
      </c>
      <c r="M105" s="0" t="str">
        <f aca="false">IF(A105="","",IF(H105="TP1","1"&amp;"_"&amp;C105,IF(H105="TP3","15"&amp;"_"&amp;C105,L105&amp;"_"&amp;D105)))</f>
        <v/>
      </c>
      <c r="N105" s="0" t="str">
        <f aca="false">E104&amp;IF(F105=1,"T","")</f>
        <v/>
      </c>
      <c r="O105" s="0" t="str">
        <f aca="false">IFERROR(((IF(L105=1,0,IF(L105=15,VARIÁVEIS!$B$34,((MID(C105,1,(SEARCH(".",C105,1)-1))&amp;","&amp;MID(C105,(SEARCH(".",C105,1)+1),1))&amp;"0")*1)))*1),"")</f>
        <v/>
      </c>
      <c r="P105" s="0" t="str">
        <f aca="false">(IFERROR(D105/32,""))</f>
        <v/>
      </c>
    </row>
    <row r="106" customFormat="false" ht="12.75" hidden="false" customHeight="false" outlineLevel="0" collapsed="false">
      <c r="A106" s="0" t="str">
        <f aca="false">IF('Leitura .bpp --&gt; .csv'!F150="","",'Leitura .bpp --&gt; .csv'!F150)</f>
        <v/>
      </c>
      <c r="B106" s="0" t="str">
        <f aca="false">IF('Leitura .bpp --&gt; .csv'!G150="","",'Leitura .bpp --&gt; .csv'!G150)</f>
        <v/>
      </c>
      <c r="C106" s="0" t="str">
        <f aca="false">IF('Leitura .bpp --&gt; .csv'!H150="","",'Leitura .bpp --&gt; .csv'!H150)</f>
        <v/>
      </c>
      <c r="D106" s="0" t="str">
        <f aca="false">IF('Leitura .bpp --&gt; .csv'!I150="","",'Leitura .bpp --&gt; .csv'!I150)</f>
        <v/>
      </c>
      <c r="E106" s="0" t="str">
        <f aca="false">IF('Leitura .bpp --&gt; .csv'!L150="","",'Leitura .bpp --&gt; .csv'!L150)</f>
        <v/>
      </c>
      <c r="F106" s="0" t="str">
        <f aca="false">IF('Leitura .bpp --&gt; .csv'!M150="","",'Leitura .bpp --&gt; .csv'!M150)</f>
        <v/>
      </c>
      <c r="G106" s="0" t="str">
        <f aca="false">IF('Leitura .bpp --&gt; .csv'!K150="","",'Leitura .bpp --&gt; .csv'!K150)</f>
        <v/>
      </c>
      <c r="H106" s="0" t="n">
        <f aca="false">IF(A106="",1,IF(A106=" 0 : 1","TP1",IF(A106=" 0 : 3","TP3","CAB")))</f>
        <v>1</v>
      </c>
      <c r="I106" s="0" t="str">
        <f aca="false">IF(A106="","",IF(C107=C106,1,""))</f>
        <v/>
      </c>
      <c r="J106" s="0" t="str">
        <f aca="false">IF(A106="","",IF(C106=C105,1,""))</f>
        <v/>
      </c>
      <c r="K106" s="0" t="str">
        <f aca="false">IF(I106=1,1,IF(J106=1,1,""))</f>
        <v/>
      </c>
      <c r="L106" s="0" t="str">
        <f aca="false">IFERROR(IF(AND(H105="",H106=""),"",IF(H106="TP1",1,IF(H106="TP3",15,IF(AND(A106="",L105=15),"",IF(H105="CAB",L105,L105+1))))),"")</f>
        <v/>
      </c>
      <c r="M106" s="0" t="str">
        <f aca="false">IF(A106="","",IF(H106="TP1","1"&amp;"_"&amp;C106,IF(H106="TP3","15"&amp;"_"&amp;C106,L106&amp;"_"&amp;D106)))</f>
        <v/>
      </c>
      <c r="N106" s="0" t="str">
        <f aca="false">E105&amp;IF(F106=1,"T","")</f>
        <v/>
      </c>
      <c r="O106" s="0" t="str">
        <f aca="false">IFERROR(((IF(L106=1,0,IF(L106=15,VARIÁVEIS!$B$34,((MID(C106,1,(SEARCH(".",C106,1)-1))&amp;","&amp;MID(C106,(SEARCH(".",C106,1)+1),1))&amp;"0")*1)))*1),"")</f>
        <v/>
      </c>
      <c r="P106" s="0" t="str">
        <f aca="false">(IFERROR(D106/32,""))</f>
        <v/>
      </c>
    </row>
    <row r="107" customFormat="false" ht="12.75" hidden="false" customHeight="false" outlineLevel="0" collapsed="false">
      <c r="A107" s="0" t="str">
        <f aca="false">IF('Leitura .bpp --&gt; .csv'!F151="","",'Leitura .bpp --&gt; .csv'!F151)</f>
        <v/>
      </c>
      <c r="B107" s="0" t="str">
        <f aca="false">IF('Leitura .bpp --&gt; .csv'!G151="","",'Leitura .bpp --&gt; .csv'!G151)</f>
        <v/>
      </c>
      <c r="C107" s="0" t="str">
        <f aca="false">IF('Leitura .bpp --&gt; .csv'!H151="","",'Leitura .bpp --&gt; .csv'!H151)</f>
        <v/>
      </c>
      <c r="D107" s="0" t="str">
        <f aca="false">IF('Leitura .bpp --&gt; .csv'!I151="","",'Leitura .bpp --&gt; .csv'!I151)</f>
        <v/>
      </c>
      <c r="E107" s="0" t="str">
        <f aca="false">IF('Leitura .bpp --&gt; .csv'!L151="","",'Leitura .bpp --&gt; .csv'!L151)</f>
        <v/>
      </c>
      <c r="F107" s="0" t="str">
        <f aca="false">IF('Leitura .bpp --&gt; .csv'!M151="","",'Leitura .bpp --&gt; .csv'!M151)</f>
        <v/>
      </c>
      <c r="G107" s="0" t="str">
        <f aca="false">IF('Leitura .bpp --&gt; .csv'!K151="","",'Leitura .bpp --&gt; .csv'!K151)</f>
        <v/>
      </c>
      <c r="H107" s="0" t="n">
        <f aca="false">IF(A107="",1,IF(A107=" 0 : 1","TP1",IF(A107=" 0 : 3","TP3","CAB")))</f>
        <v>1</v>
      </c>
      <c r="I107" s="0" t="str">
        <f aca="false">IF(A107="","",IF(C108=C107,1,""))</f>
        <v/>
      </c>
      <c r="J107" s="0" t="str">
        <f aca="false">IF(A107="","",IF(C107=C106,1,""))</f>
        <v/>
      </c>
      <c r="K107" s="0" t="str">
        <f aca="false">IF(I107=1,1,IF(J107=1,1,""))</f>
        <v/>
      </c>
      <c r="L107" s="0" t="str">
        <f aca="false">IFERROR(IF(AND(H106="",H107=""),"",IF(H107="TP1",1,IF(H107="TP3",15,IF(AND(A107="",L106=15),"",IF(H106="CAB",L106,L106+1))))),"")</f>
        <v/>
      </c>
      <c r="M107" s="0" t="str">
        <f aca="false">IF(A107="","",IF(H107="TP1","1"&amp;"_"&amp;C107,IF(H107="TP3","15"&amp;"_"&amp;C107,L107&amp;"_"&amp;D107)))</f>
        <v/>
      </c>
      <c r="N107" s="0" t="str">
        <f aca="false">E106&amp;IF(F107=1,"T","")</f>
        <v/>
      </c>
      <c r="O107" s="0" t="str">
        <f aca="false">IFERROR(((IF(L107=1,0,IF(L107=15,VARIÁVEIS!$B$34,((MID(C107,1,(SEARCH(".",C107,1)-1))&amp;","&amp;MID(C107,(SEARCH(".",C107,1)+1),1))&amp;"0")*1)))*1),"")</f>
        <v/>
      </c>
      <c r="P107" s="0" t="str">
        <f aca="false">(IFERROR(D107/32,""))</f>
        <v/>
      </c>
    </row>
    <row r="108" customFormat="false" ht="12.75" hidden="false" customHeight="false" outlineLevel="0" collapsed="false">
      <c r="A108" s="0" t="str">
        <f aca="false">IF('Leitura .bpp --&gt; .csv'!F152="","",'Leitura .bpp --&gt; .csv'!F152)</f>
        <v/>
      </c>
      <c r="B108" s="0" t="str">
        <f aca="false">IF('Leitura .bpp --&gt; .csv'!G152="","",'Leitura .bpp --&gt; .csv'!G152)</f>
        <v/>
      </c>
      <c r="C108" s="0" t="str">
        <f aca="false">IF('Leitura .bpp --&gt; .csv'!H152="","",'Leitura .bpp --&gt; .csv'!H152)</f>
        <v/>
      </c>
      <c r="D108" s="0" t="str">
        <f aca="false">IF('Leitura .bpp --&gt; .csv'!I152="","",'Leitura .bpp --&gt; .csv'!I152)</f>
        <v/>
      </c>
      <c r="E108" s="0" t="str">
        <f aca="false">IF('Leitura .bpp --&gt; .csv'!L152="","",'Leitura .bpp --&gt; .csv'!L152)</f>
        <v/>
      </c>
      <c r="F108" s="0" t="str">
        <f aca="false">IF('Leitura .bpp --&gt; .csv'!M152="","",'Leitura .bpp --&gt; .csv'!M152)</f>
        <v/>
      </c>
      <c r="G108" s="0" t="str">
        <f aca="false">IF('Leitura .bpp --&gt; .csv'!K152="","",'Leitura .bpp --&gt; .csv'!K152)</f>
        <v/>
      </c>
      <c r="H108" s="0" t="n">
        <f aca="false">IF(A108="",1,IF(A108=" 0 : 1","TP1",IF(A108=" 0 : 3","TP3","CAB")))</f>
        <v>1</v>
      </c>
      <c r="I108" s="0" t="str">
        <f aca="false">IF(A108="","",IF(C109=C108,1,""))</f>
        <v/>
      </c>
      <c r="J108" s="0" t="str">
        <f aca="false">IF(A108="","",IF(C108=C107,1,""))</f>
        <v/>
      </c>
      <c r="K108" s="0" t="str">
        <f aca="false">IF(I108=1,1,IF(J108=1,1,""))</f>
        <v/>
      </c>
      <c r="L108" s="0" t="str">
        <f aca="false">IFERROR(IF(AND(H107="",H108=""),"",IF(H108="TP1",1,IF(H108="TP3",15,IF(AND(A108="",L107=15),"",IF(H107="CAB",L107,L107+1))))),"")</f>
        <v/>
      </c>
      <c r="M108" s="0" t="str">
        <f aca="false">IF(A108="","",IF(H108="TP1","1"&amp;"_"&amp;C108,IF(H108="TP3","15"&amp;"_"&amp;C108,L108&amp;"_"&amp;D108)))</f>
        <v/>
      </c>
      <c r="N108" s="0" t="str">
        <f aca="false">E107&amp;IF(F108=1,"T","")</f>
        <v/>
      </c>
      <c r="O108" s="0" t="str">
        <f aca="false">IFERROR(((IF(L108=1,0,IF(L108=15,VARIÁVEIS!$B$34,((MID(C108,1,(SEARCH(".",C108,1)-1))&amp;","&amp;MID(C108,(SEARCH(".",C108,1)+1),1))&amp;"0")*1)))*1),"")</f>
        <v/>
      </c>
      <c r="P108" s="0" t="str">
        <f aca="false">(IFERROR(D108/32,""))</f>
        <v/>
      </c>
    </row>
    <row r="109" customFormat="false" ht="12.75" hidden="false" customHeight="false" outlineLevel="0" collapsed="false">
      <c r="A109" s="0" t="str">
        <f aca="false">IF('Leitura .bpp --&gt; .csv'!F153="","",'Leitura .bpp --&gt; .csv'!F153)</f>
        <v/>
      </c>
      <c r="B109" s="0" t="str">
        <f aca="false">IF('Leitura .bpp --&gt; .csv'!G153="","",'Leitura .bpp --&gt; .csv'!G153)</f>
        <v/>
      </c>
      <c r="C109" s="0" t="str">
        <f aca="false">IF('Leitura .bpp --&gt; .csv'!H153="","",'Leitura .bpp --&gt; .csv'!H153)</f>
        <v/>
      </c>
      <c r="D109" s="0" t="str">
        <f aca="false">IF('Leitura .bpp --&gt; .csv'!I153="","",'Leitura .bpp --&gt; .csv'!I153)</f>
        <v/>
      </c>
      <c r="E109" s="0" t="str">
        <f aca="false">IF('Leitura .bpp --&gt; .csv'!L153="","",'Leitura .bpp --&gt; .csv'!L153)</f>
        <v/>
      </c>
      <c r="F109" s="0" t="str">
        <f aca="false">IF('Leitura .bpp --&gt; .csv'!M153="","",'Leitura .bpp --&gt; .csv'!M153)</f>
        <v/>
      </c>
      <c r="G109" s="0" t="str">
        <f aca="false">IF('Leitura .bpp --&gt; .csv'!K153="","",'Leitura .bpp --&gt; .csv'!K153)</f>
        <v/>
      </c>
      <c r="H109" s="0" t="n">
        <f aca="false">IF(A109="",1,IF(A109=" 0 : 1","TP1",IF(A109=" 0 : 3","TP3","CAB")))</f>
        <v>1</v>
      </c>
      <c r="I109" s="0" t="str">
        <f aca="false">IF(A109="","",IF(C110=C109,1,""))</f>
        <v/>
      </c>
      <c r="J109" s="0" t="str">
        <f aca="false">IF(A109="","",IF(C109=C108,1,""))</f>
        <v/>
      </c>
      <c r="K109" s="0" t="str">
        <f aca="false">IF(I109=1,1,IF(J109=1,1,""))</f>
        <v/>
      </c>
      <c r="L109" s="0" t="str">
        <f aca="false">IFERROR(IF(AND(H108="",H109=""),"",IF(H109="TP1",1,IF(H109="TP3",15,IF(AND(A109="",L108=15),"",IF(H108="CAB",L108,L108+1))))),"")</f>
        <v/>
      </c>
      <c r="M109" s="0" t="str">
        <f aca="false">IF(A109="","",IF(H109="TP1","1"&amp;"_"&amp;C109,IF(H109="TP3","15"&amp;"_"&amp;C109,L109&amp;"_"&amp;D109)))</f>
        <v/>
      </c>
      <c r="N109" s="0" t="str">
        <f aca="false">E108&amp;IF(F109=1,"T","")</f>
        <v/>
      </c>
      <c r="O109" s="0" t="str">
        <f aca="false">IFERROR(((IF(L109=1,0,IF(L109=15,VARIÁVEIS!$B$34,((MID(C109,1,(SEARCH(".",C109,1)-1))&amp;","&amp;MID(C109,(SEARCH(".",C109,1)+1),1))&amp;"0")*1)))*1),"")</f>
        <v/>
      </c>
      <c r="P109" s="0" t="str">
        <f aca="false">(IFERROR(D109/32,""))</f>
        <v/>
      </c>
    </row>
    <row r="110" customFormat="false" ht="12.75" hidden="false" customHeight="false" outlineLevel="0" collapsed="false">
      <c r="A110" s="0" t="str">
        <f aca="false">IF('Leitura .bpp --&gt; .csv'!F154="","",'Leitura .bpp --&gt; .csv'!F154)</f>
        <v/>
      </c>
      <c r="B110" s="0" t="str">
        <f aca="false">IF('Leitura .bpp --&gt; .csv'!G154="","",'Leitura .bpp --&gt; .csv'!G154)</f>
        <v/>
      </c>
      <c r="C110" s="0" t="str">
        <f aca="false">IF('Leitura .bpp --&gt; .csv'!H154="","",'Leitura .bpp --&gt; .csv'!H154)</f>
        <v/>
      </c>
      <c r="D110" s="0" t="str">
        <f aca="false">IF('Leitura .bpp --&gt; .csv'!I154="","",'Leitura .bpp --&gt; .csv'!I154)</f>
        <v/>
      </c>
      <c r="E110" s="0" t="str">
        <f aca="false">IF('Leitura .bpp --&gt; .csv'!L154="","",'Leitura .bpp --&gt; .csv'!L154)</f>
        <v/>
      </c>
      <c r="F110" s="0" t="str">
        <f aca="false">IF('Leitura .bpp --&gt; .csv'!M154="","",'Leitura .bpp --&gt; .csv'!M154)</f>
        <v/>
      </c>
      <c r="G110" s="0" t="str">
        <f aca="false">IF('Leitura .bpp --&gt; .csv'!K154="","",'Leitura .bpp --&gt; .csv'!K154)</f>
        <v/>
      </c>
      <c r="H110" s="0" t="n">
        <f aca="false">IF(A110="",1,IF(A110=" 0 : 1","TP1",IF(A110=" 0 : 3","TP3","CAB")))</f>
        <v>1</v>
      </c>
      <c r="I110" s="0" t="str">
        <f aca="false">IF(A110="","",IF(C111=C110,1,""))</f>
        <v/>
      </c>
      <c r="J110" s="0" t="str">
        <f aca="false">IF(A110="","",IF(C110=C109,1,""))</f>
        <v/>
      </c>
      <c r="K110" s="0" t="str">
        <f aca="false">IF(I110=1,1,IF(J110=1,1,""))</f>
        <v/>
      </c>
      <c r="L110" s="0" t="str">
        <f aca="false">IFERROR(IF(AND(H109="",H110=""),"",IF(H110="TP1",1,IF(H110="TP3",15,IF(AND(A110="",L109=15),"",IF(H109="CAB",L109,L109+1))))),"")</f>
        <v/>
      </c>
      <c r="M110" s="0" t="str">
        <f aca="false">IF(A110="","",IF(H110="TP1","1"&amp;"_"&amp;C110,IF(H110="TP3","15"&amp;"_"&amp;C110,L110&amp;"_"&amp;D110)))</f>
        <v/>
      </c>
      <c r="N110" s="0" t="str">
        <f aca="false">E109&amp;IF(F110=1,"T","")</f>
        <v/>
      </c>
      <c r="O110" s="0" t="str">
        <f aca="false">IFERROR(((IF(L110=1,0,IF(L110=15,VARIÁVEIS!$B$34,((MID(C110,1,(SEARCH(".",C110,1)-1))&amp;","&amp;MID(C110,(SEARCH(".",C110,1)+1),1))&amp;"0")*1)))*1),"")</f>
        <v/>
      </c>
      <c r="P110" s="0" t="str">
        <f aca="false">(IFERROR(D110/32,""))</f>
        <v/>
      </c>
    </row>
    <row r="111" customFormat="false" ht="12.75" hidden="false" customHeight="false" outlineLevel="0" collapsed="false">
      <c r="A111" s="0" t="str">
        <f aca="false">IF('Leitura .bpp --&gt; .csv'!F155="","",'Leitura .bpp --&gt; .csv'!F155)</f>
        <v/>
      </c>
      <c r="B111" s="0" t="str">
        <f aca="false">IF('Leitura .bpp --&gt; .csv'!G155="","",'Leitura .bpp --&gt; .csv'!G155)</f>
        <v/>
      </c>
      <c r="C111" s="0" t="str">
        <f aca="false">IF('Leitura .bpp --&gt; .csv'!H155="","",'Leitura .bpp --&gt; .csv'!H155)</f>
        <v/>
      </c>
      <c r="D111" s="0" t="str">
        <f aca="false">IF('Leitura .bpp --&gt; .csv'!I155="","",'Leitura .bpp --&gt; .csv'!I155)</f>
        <v/>
      </c>
      <c r="E111" s="0" t="str">
        <f aca="false">IF('Leitura .bpp --&gt; .csv'!L155="","",'Leitura .bpp --&gt; .csv'!L155)</f>
        <v/>
      </c>
      <c r="F111" s="0" t="str">
        <f aca="false">IF('Leitura .bpp --&gt; .csv'!M155="","",'Leitura .bpp --&gt; .csv'!M155)</f>
        <v/>
      </c>
      <c r="G111" s="0" t="str">
        <f aca="false">IF('Leitura .bpp --&gt; .csv'!K155="","",'Leitura .bpp --&gt; .csv'!K155)</f>
        <v/>
      </c>
      <c r="H111" s="0" t="n">
        <f aca="false">IF(A111="",1,IF(A111=" 0 : 1","TP1",IF(A111=" 0 : 3","TP3","CAB")))</f>
        <v>1</v>
      </c>
      <c r="I111" s="0" t="str">
        <f aca="false">IF(A111="","",IF(C112=C111,1,""))</f>
        <v/>
      </c>
      <c r="J111" s="0" t="str">
        <f aca="false">IF(A111="","",IF(C111=C110,1,""))</f>
        <v/>
      </c>
      <c r="K111" s="0" t="str">
        <f aca="false">IF(I111=1,1,IF(J111=1,1,""))</f>
        <v/>
      </c>
      <c r="L111" s="0" t="str">
        <f aca="false">IFERROR(IF(AND(H110="",H111=""),"",IF(H111="TP1",1,IF(H111="TP3",15,IF(AND(A111="",L110=15),"",IF(H110="CAB",L110,L110+1))))),"")</f>
        <v/>
      </c>
      <c r="M111" s="0" t="str">
        <f aca="false">IF(A111="","",IF(H111="TP1","1"&amp;"_"&amp;C111,IF(H111="TP3","15"&amp;"_"&amp;C111,L111&amp;"_"&amp;D111)))</f>
        <v/>
      </c>
      <c r="N111" s="0" t="str">
        <f aca="false">E110&amp;IF(F111=1,"T","")</f>
        <v/>
      </c>
      <c r="O111" s="0" t="str">
        <f aca="false">IFERROR(((IF(L111=1,0,IF(L111=15,VARIÁVEIS!$B$34,((MID(C111,1,(SEARCH(".",C111,1)-1))&amp;","&amp;MID(C111,(SEARCH(".",C111,1)+1),1))&amp;"0")*1)))*1),"")</f>
        <v/>
      </c>
      <c r="P111" s="0" t="str">
        <f aca="false">(IFERROR(D111/32,""))</f>
        <v/>
      </c>
    </row>
    <row r="112" customFormat="false" ht="12.75" hidden="false" customHeight="false" outlineLevel="0" collapsed="false">
      <c r="A112" s="0" t="str">
        <f aca="false">IF('Leitura .bpp --&gt; .csv'!F156="","",'Leitura .bpp --&gt; .csv'!F156)</f>
        <v/>
      </c>
      <c r="B112" s="0" t="str">
        <f aca="false">IF('Leitura .bpp --&gt; .csv'!G156="","",'Leitura .bpp --&gt; .csv'!G156)</f>
        <v/>
      </c>
      <c r="C112" s="0" t="str">
        <f aca="false">IF('Leitura .bpp --&gt; .csv'!H156="","",'Leitura .bpp --&gt; .csv'!H156)</f>
        <v/>
      </c>
      <c r="D112" s="0" t="str">
        <f aca="false">IF('Leitura .bpp --&gt; .csv'!I156="","",'Leitura .bpp --&gt; .csv'!I156)</f>
        <v/>
      </c>
      <c r="E112" s="0" t="str">
        <f aca="false">IF('Leitura .bpp --&gt; .csv'!L156="","",'Leitura .bpp --&gt; .csv'!L156)</f>
        <v/>
      </c>
      <c r="F112" s="0" t="str">
        <f aca="false">IF('Leitura .bpp --&gt; .csv'!M156="","",'Leitura .bpp --&gt; .csv'!M156)</f>
        <v/>
      </c>
      <c r="G112" s="0" t="str">
        <f aca="false">IF('Leitura .bpp --&gt; .csv'!K156="","",'Leitura .bpp --&gt; .csv'!K156)</f>
        <v/>
      </c>
      <c r="H112" s="0" t="n">
        <f aca="false">IF(A112="",1,IF(A112=" 0 : 1","TP1",IF(A112=" 0 : 3","TP3","CAB")))</f>
        <v>1</v>
      </c>
      <c r="I112" s="0" t="str">
        <f aca="false">IF(A112="","",IF(C113=C112,1,""))</f>
        <v/>
      </c>
      <c r="J112" s="0" t="str">
        <f aca="false">IF(A112="","",IF(C112=C111,1,""))</f>
        <v/>
      </c>
      <c r="K112" s="0" t="str">
        <f aca="false">IF(I112=1,1,IF(J112=1,1,""))</f>
        <v/>
      </c>
      <c r="L112" s="0" t="str">
        <f aca="false">IFERROR(IF(AND(H111="",H112=""),"",IF(H112="TP1",1,IF(H112="TP3",15,IF(AND(A112="",L111=15),"",IF(H111="CAB",L111,L111+1))))),"")</f>
        <v/>
      </c>
      <c r="M112" s="0" t="str">
        <f aca="false">IF(A112="","",IF(H112="TP1","1"&amp;"_"&amp;C112,IF(H112="TP3","15"&amp;"_"&amp;C112,L112&amp;"_"&amp;D112)))</f>
        <v/>
      </c>
      <c r="N112" s="0" t="str">
        <f aca="false">E111&amp;IF(F112=1,"T","")</f>
        <v/>
      </c>
      <c r="O112" s="0" t="str">
        <f aca="false">IFERROR(((IF(L112=1,0,IF(L112=15,VARIÁVEIS!$B$34,((MID(C112,1,(SEARCH(".",C112,1)-1))&amp;","&amp;MID(C112,(SEARCH(".",C112,1)+1),1))&amp;"0")*1)))*1),"")</f>
        <v/>
      </c>
      <c r="P112" s="0" t="str">
        <f aca="false">(IFERROR(D112/32,""))</f>
        <v/>
      </c>
    </row>
    <row r="113" customFormat="false" ht="12.75" hidden="false" customHeight="false" outlineLevel="0" collapsed="false">
      <c r="A113" s="0" t="str">
        <f aca="false">IF('Leitura .bpp --&gt; .csv'!F157="","",'Leitura .bpp --&gt; .csv'!F157)</f>
        <v/>
      </c>
      <c r="B113" s="0" t="str">
        <f aca="false">IF('Leitura .bpp --&gt; .csv'!G157="","",'Leitura .bpp --&gt; .csv'!G157)</f>
        <v/>
      </c>
      <c r="C113" s="0" t="str">
        <f aca="false">IF('Leitura .bpp --&gt; .csv'!H157="","",'Leitura .bpp --&gt; .csv'!H157)</f>
        <v/>
      </c>
      <c r="D113" s="0" t="str">
        <f aca="false">IF('Leitura .bpp --&gt; .csv'!I157="","",'Leitura .bpp --&gt; .csv'!I157)</f>
        <v/>
      </c>
      <c r="E113" s="0" t="str">
        <f aca="false">IF('Leitura .bpp --&gt; .csv'!L157="","",'Leitura .bpp --&gt; .csv'!L157)</f>
        <v/>
      </c>
      <c r="F113" s="0" t="str">
        <f aca="false">IF('Leitura .bpp --&gt; .csv'!M157="","",'Leitura .bpp --&gt; .csv'!M157)</f>
        <v/>
      </c>
      <c r="G113" s="0" t="str">
        <f aca="false">IF('Leitura .bpp --&gt; .csv'!K157="","",'Leitura .bpp --&gt; .csv'!K157)</f>
        <v/>
      </c>
      <c r="H113" s="0" t="n">
        <f aca="false">IF(A113="",1,IF(A113=" 0 : 1","TP1",IF(A113=" 0 : 3","TP3","CAB")))</f>
        <v>1</v>
      </c>
      <c r="I113" s="0" t="str">
        <f aca="false">IF(A113="","",IF(C114=C113,1,""))</f>
        <v/>
      </c>
      <c r="J113" s="0" t="str">
        <f aca="false">IF(A113="","",IF(C113=C112,1,""))</f>
        <v/>
      </c>
      <c r="K113" s="0" t="str">
        <f aca="false">IF(I113=1,1,IF(J113=1,1,""))</f>
        <v/>
      </c>
      <c r="L113" s="0" t="str">
        <f aca="false">IFERROR(IF(AND(H112="",H113=""),"",IF(H113="TP1",1,IF(H113="TP3",15,IF(AND(A113="",L112=15),"",IF(H112="CAB",L112,L112+1))))),"")</f>
        <v/>
      </c>
      <c r="M113" s="0" t="str">
        <f aca="false">IF(A113="","",IF(H113="TP1","1"&amp;"_"&amp;C113,IF(H113="TP3","15"&amp;"_"&amp;C113,L113&amp;"_"&amp;D113)))</f>
        <v/>
      </c>
      <c r="N113" s="0" t="str">
        <f aca="false">E112&amp;IF(F113=1,"T","")</f>
        <v/>
      </c>
      <c r="O113" s="0" t="str">
        <f aca="false">IFERROR(((IF(L113=1,0,IF(L113=15,VARIÁVEIS!$B$34,((MID(C113,1,(SEARCH(".",C113,1)-1))&amp;","&amp;MID(C113,(SEARCH(".",C113,1)+1),1))&amp;"0")*1)))*1),"")</f>
        <v/>
      </c>
      <c r="P113" s="0" t="str">
        <f aca="false">(IFERROR(D113/32,""))</f>
        <v/>
      </c>
    </row>
    <row r="114" customFormat="false" ht="12.75" hidden="false" customHeight="false" outlineLevel="0" collapsed="false">
      <c r="A114" s="0" t="str">
        <f aca="false">IF('Leitura .bpp --&gt; .csv'!F158="","",'Leitura .bpp --&gt; .csv'!F158)</f>
        <v/>
      </c>
      <c r="B114" s="0" t="str">
        <f aca="false">IF('Leitura .bpp --&gt; .csv'!G158="","",'Leitura .bpp --&gt; .csv'!G158)</f>
        <v/>
      </c>
      <c r="C114" s="0" t="str">
        <f aca="false">IF('Leitura .bpp --&gt; .csv'!H158="","",'Leitura .bpp --&gt; .csv'!H158)</f>
        <v/>
      </c>
      <c r="D114" s="0" t="str">
        <f aca="false">IF('Leitura .bpp --&gt; .csv'!I158="","",'Leitura .bpp --&gt; .csv'!I158)</f>
        <v/>
      </c>
      <c r="E114" s="0" t="str">
        <f aca="false">IF('Leitura .bpp --&gt; .csv'!L158="","",'Leitura .bpp --&gt; .csv'!L158)</f>
        <v/>
      </c>
      <c r="F114" s="0" t="str">
        <f aca="false">IF('Leitura .bpp --&gt; .csv'!M158="","",'Leitura .bpp --&gt; .csv'!M158)</f>
        <v/>
      </c>
      <c r="G114" s="0" t="str">
        <f aca="false">IF('Leitura .bpp --&gt; .csv'!K158="","",'Leitura .bpp --&gt; .csv'!K158)</f>
        <v/>
      </c>
      <c r="H114" s="0" t="n">
        <f aca="false">IF(A114="",1,IF(A114=" 0 : 1","TP1",IF(A114=" 0 : 3","TP3","CAB")))</f>
        <v>1</v>
      </c>
      <c r="I114" s="0" t="str">
        <f aca="false">IF(A114="","",IF(C115=C114,1,""))</f>
        <v/>
      </c>
      <c r="J114" s="0" t="str">
        <f aca="false">IF(A114="","",IF(C114=C113,1,""))</f>
        <v/>
      </c>
      <c r="K114" s="0" t="str">
        <f aca="false">IF(I114=1,1,IF(J114=1,1,""))</f>
        <v/>
      </c>
      <c r="L114" s="0" t="str">
        <f aca="false">IFERROR(IF(AND(H113="",H114=""),"",IF(H114="TP1",1,IF(H114="TP3",15,IF(AND(A114="",L113=15),"",IF(H113="CAB",L113,L113+1))))),"")</f>
        <v/>
      </c>
      <c r="M114" s="0" t="str">
        <f aca="false">IF(A114="","",IF(H114="TP1","1"&amp;"_"&amp;C114,IF(H114="TP3","15"&amp;"_"&amp;C114,L114&amp;"_"&amp;D114)))</f>
        <v/>
      </c>
      <c r="N114" s="0" t="str">
        <f aca="false">E113&amp;IF(F114=1,"T","")</f>
        <v/>
      </c>
      <c r="O114" s="0" t="str">
        <f aca="false">IFERROR(((IF(L114=1,0,IF(L114=15,VARIÁVEIS!$B$34,((MID(C114,1,(SEARCH(".",C114,1)-1))&amp;","&amp;MID(C114,(SEARCH(".",C114,1)+1),1))&amp;"0")*1)))*1),"")</f>
        <v/>
      </c>
      <c r="P114" s="0" t="str">
        <f aca="false">(IFERROR(D114/32,""))</f>
        <v/>
      </c>
    </row>
    <row r="115" customFormat="false" ht="12.75" hidden="false" customHeight="false" outlineLevel="0" collapsed="false">
      <c r="A115" s="0" t="str">
        <f aca="false">IF('Leitura .bpp --&gt; .csv'!F159="","",'Leitura .bpp --&gt; .csv'!F159)</f>
        <v/>
      </c>
      <c r="B115" s="0" t="str">
        <f aca="false">IF('Leitura .bpp --&gt; .csv'!G159="","",'Leitura .bpp --&gt; .csv'!G159)</f>
        <v/>
      </c>
      <c r="C115" s="0" t="str">
        <f aca="false">IF('Leitura .bpp --&gt; .csv'!H159="","",'Leitura .bpp --&gt; .csv'!H159)</f>
        <v/>
      </c>
      <c r="D115" s="0" t="str">
        <f aca="false">IF('Leitura .bpp --&gt; .csv'!I159="","",'Leitura .bpp --&gt; .csv'!I159)</f>
        <v/>
      </c>
      <c r="E115" s="0" t="str">
        <f aca="false">IF('Leitura .bpp --&gt; .csv'!L159="","",'Leitura .bpp --&gt; .csv'!L159)</f>
        <v/>
      </c>
      <c r="F115" s="0" t="str">
        <f aca="false">IF('Leitura .bpp --&gt; .csv'!M159="","",'Leitura .bpp --&gt; .csv'!M159)</f>
        <v/>
      </c>
      <c r="G115" s="0" t="str">
        <f aca="false">IF('Leitura .bpp --&gt; .csv'!K159="","",'Leitura .bpp --&gt; .csv'!K159)</f>
        <v/>
      </c>
      <c r="H115" s="0" t="n">
        <f aca="false">IF(A115="",1,IF(A115=" 0 : 1","TP1",IF(A115=" 0 : 3","TP3","CAB")))</f>
        <v>1</v>
      </c>
      <c r="I115" s="0" t="str">
        <f aca="false">IF(A115="","",IF(C116=C115,1,""))</f>
        <v/>
      </c>
      <c r="J115" s="0" t="str">
        <f aca="false">IF(A115="","",IF(C115=C114,1,""))</f>
        <v/>
      </c>
      <c r="K115" s="0" t="str">
        <f aca="false">IF(I115=1,1,IF(J115=1,1,""))</f>
        <v/>
      </c>
      <c r="L115" s="0" t="str">
        <f aca="false">IFERROR(IF(AND(H114="",H115=""),"",IF(H115="TP1",1,IF(H115="TP3",15,IF(AND(A115="",L114=15),"",IF(H114="CAB",L114,L114+1))))),"")</f>
        <v/>
      </c>
      <c r="M115" s="0" t="str">
        <f aca="false">IF(A115="","",IF(H115="TP1","1"&amp;"_"&amp;C115,IF(H115="TP3","15"&amp;"_"&amp;C115,L115&amp;"_"&amp;D115)))</f>
        <v/>
      </c>
      <c r="N115" s="0" t="str">
        <f aca="false">E114&amp;IF(F115=1,"T","")</f>
        <v/>
      </c>
      <c r="O115" s="0" t="str">
        <f aca="false">IFERROR(((IF(L115=1,0,IF(L115=15,VARIÁVEIS!$B$34,((MID(C115,1,(SEARCH(".",C115,1)-1))&amp;","&amp;MID(C115,(SEARCH(".",C115,1)+1),1))&amp;"0")*1)))*1),"")</f>
        <v/>
      </c>
      <c r="P115" s="0" t="str">
        <f aca="false">(IFERROR(D115/32,""))</f>
        <v/>
      </c>
    </row>
    <row r="116" customFormat="false" ht="12.75" hidden="false" customHeight="false" outlineLevel="0" collapsed="false">
      <c r="A116" s="0" t="str">
        <f aca="false">IF('Leitura .bpp --&gt; .csv'!F160="","",'Leitura .bpp --&gt; .csv'!F160)</f>
        <v/>
      </c>
      <c r="B116" s="0" t="str">
        <f aca="false">IF('Leitura .bpp --&gt; .csv'!G160="","",'Leitura .bpp --&gt; .csv'!G160)</f>
        <v/>
      </c>
      <c r="C116" s="0" t="str">
        <f aca="false">IF('Leitura .bpp --&gt; .csv'!H160="","",'Leitura .bpp --&gt; .csv'!H160)</f>
        <v/>
      </c>
      <c r="D116" s="0" t="str">
        <f aca="false">IF('Leitura .bpp --&gt; .csv'!I160="","",'Leitura .bpp --&gt; .csv'!I160)</f>
        <v/>
      </c>
      <c r="E116" s="0" t="str">
        <f aca="false">IF('Leitura .bpp --&gt; .csv'!L160="","",'Leitura .bpp --&gt; .csv'!L160)</f>
        <v/>
      </c>
      <c r="F116" s="0" t="str">
        <f aca="false">IF('Leitura .bpp --&gt; .csv'!M160="","",'Leitura .bpp --&gt; .csv'!M160)</f>
        <v/>
      </c>
      <c r="G116" s="0" t="str">
        <f aca="false">IF('Leitura .bpp --&gt; .csv'!K160="","",'Leitura .bpp --&gt; .csv'!K160)</f>
        <v/>
      </c>
      <c r="H116" s="0" t="n">
        <f aca="false">IF(A116="",1,IF(A116=" 0 : 1","TP1",IF(A116=" 0 : 3","TP3","CAB")))</f>
        <v>1</v>
      </c>
      <c r="I116" s="0" t="str">
        <f aca="false">IF(A116="","",IF(C117=C116,1,""))</f>
        <v/>
      </c>
      <c r="J116" s="0" t="str">
        <f aca="false">IF(A116="","",IF(C116=C115,1,""))</f>
        <v/>
      </c>
      <c r="K116" s="0" t="str">
        <f aca="false">IF(I116=1,1,IF(J116=1,1,""))</f>
        <v/>
      </c>
      <c r="L116" s="0" t="str">
        <f aca="false">IFERROR(IF(AND(H115="",H116=""),"",IF(H116="TP1",1,IF(H116="TP3",15,IF(AND(A116="",L115=15),"",IF(H115="CAB",L115,L115+1))))),"")</f>
        <v/>
      </c>
      <c r="M116" s="0" t="str">
        <f aca="false">IF(A116="","",IF(H116="TP1","1"&amp;"_"&amp;C116,IF(H116="TP3","15"&amp;"_"&amp;C116,L116&amp;"_"&amp;D116)))</f>
        <v/>
      </c>
      <c r="N116" s="0" t="str">
        <f aca="false">E115&amp;IF(F116=1,"T","")</f>
        <v/>
      </c>
      <c r="O116" s="0" t="str">
        <f aca="false">IFERROR(((IF(L116=1,0,IF(L116=15,VARIÁVEIS!$B$34,((MID(C116,1,(SEARCH(".",C116,1)-1))&amp;","&amp;MID(C116,(SEARCH(".",C116,1)+1),1))&amp;"0")*1)))*1),"")</f>
        <v/>
      </c>
      <c r="P116" s="0" t="str">
        <f aca="false">(IFERROR(D116/32,""))</f>
        <v/>
      </c>
    </row>
    <row r="117" customFormat="false" ht="12.75" hidden="false" customHeight="false" outlineLevel="0" collapsed="false">
      <c r="A117" s="0" t="str">
        <f aca="false">IF('Leitura .bpp --&gt; .csv'!F161="","",'Leitura .bpp --&gt; .csv'!F161)</f>
        <v/>
      </c>
      <c r="B117" s="0" t="str">
        <f aca="false">IF('Leitura .bpp --&gt; .csv'!G161="","",'Leitura .bpp --&gt; .csv'!G161)</f>
        <v/>
      </c>
      <c r="C117" s="0" t="str">
        <f aca="false">IF('Leitura .bpp --&gt; .csv'!H161="","",'Leitura .bpp --&gt; .csv'!H161)</f>
        <v/>
      </c>
      <c r="D117" s="0" t="str">
        <f aca="false">IF('Leitura .bpp --&gt; .csv'!I161="","",'Leitura .bpp --&gt; .csv'!I161)</f>
        <v/>
      </c>
      <c r="E117" s="0" t="str">
        <f aca="false">IF('Leitura .bpp --&gt; .csv'!L161="","",'Leitura .bpp --&gt; .csv'!L161)</f>
        <v/>
      </c>
      <c r="F117" s="0" t="str">
        <f aca="false">IF('Leitura .bpp --&gt; .csv'!M161="","",'Leitura .bpp --&gt; .csv'!M161)</f>
        <v/>
      </c>
      <c r="G117" s="0" t="str">
        <f aca="false">IF('Leitura .bpp --&gt; .csv'!K161="","",'Leitura .bpp --&gt; .csv'!K161)</f>
        <v/>
      </c>
      <c r="H117" s="0" t="n">
        <f aca="false">IF(A117="",1,IF(A117=" 0 : 1","TP1",IF(A117=" 0 : 3","TP3","CAB")))</f>
        <v>1</v>
      </c>
      <c r="I117" s="0" t="str">
        <f aca="false">IF(A117="","",IF(C118=C117,1,""))</f>
        <v/>
      </c>
      <c r="J117" s="0" t="str">
        <f aca="false">IF(A117="","",IF(C117=C116,1,""))</f>
        <v/>
      </c>
      <c r="K117" s="0" t="str">
        <f aca="false">IF(I117=1,1,IF(J117=1,1,""))</f>
        <v/>
      </c>
      <c r="L117" s="0" t="str">
        <f aca="false">IFERROR(IF(AND(H116="",H117=""),"",IF(H117="TP1",1,IF(H117="TP3",15,IF(AND(A117="",L116=15),"",IF(H116="CAB",L116,L116+1))))),"")</f>
        <v/>
      </c>
      <c r="M117" s="0" t="str">
        <f aca="false">IF(A117="","",IF(H117="TP1","1"&amp;"_"&amp;C117,IF(H117="TP3","15"&amp;"_"&amp;C117,L117&amp;"_"&amp;D117)))</f>
        <v/>
      </c>
      <c r="N117" s="0" t="str">
        <f aca="false">E116&amp;IF(F117=1,"T","")</f>
        <v/>
      </c>
      <c r="O117" s="0" t="str">
        <f aca="false">IFERROR(((IF(L117=1,0,IF(L117=15,VARIÁVEIS!$B$34,((MID(C117,1,(SEARCH(".",C117,1)-1))&amp;","&amp;MID(C117,(SEARCH(".",C117,1)+1),1))&amp;"0")*1)))*1),"")</f>
        <v/>
      </c>
      <c r="P117" s="0" t="str">
        <f aca="false">(IFERROR(D117/32,""))</f>
        <v/>
      </c>
    </row>
    <row r="118" customFormat="false" ht="12.75" hidden="false" customHeight="false" outlineLevel="0" collapsed="false">
      <c r="A118" s="0" t="str">
        <f aca="false">IF('Leitura .bpp --&gt; .csv'!F162="","",'Leitura .bpp --&gt; .csv'!F162)</f>
        <v/>
      </c>
      <c r="B118" s="0" t="str">
        <f aca="false">IF('Leitura .bpp --&gt; .csv'!G162="","",'Leitura .bpp --&gt; .csv'!G162)</f>
        <v/>
      </c>
      <c r="C118" s="0" t="str">
        <f aca="false">IF('Leitura .bpp --&gt; .csv'!H162="","",'Leitura .bpp --&gt; .csv'!H162)</f>
        <v/>
      </c>
      <c r="D118" s="0" t="str">
        <f aca="false">IF('Leitura .bpp --&gt; .csv'!I162="","",'Leitura .bpp --&gt; .csv'!I162)</f>
        <v/>
      </c>
      <c r="E118" s="0" t="str">
        <f aca="false">IF('Leitura .bpp --&gt; .csv'!L162="","",'Leitura .bpp --&gt; .csv'!L162)</f>
        <v/>
      </c>
      <c r="F118" s="0" t="str">
        <f aca="false">IF('Leitura .bpp --&gt; .csv'!M162="","",'Leitura .bpp --&gt; .csv'!M162)</f>
        <v/>
      </c>
      <c r="G118" s="0" t="str">
        <f aca="false">IF('Leitura .bpp --&gt; .csv'!K162="","",'Leitura .bpp --&gt; .csv'!K162)</f>
        <v/>
      </c>
      <c r="H118" s="0" t="n">
        <f aca="false">IF(A118="",1,IF(A118=" 0 : 1","TP1",IF(A118=" 0 : 3","TP3","CAB")))</f>
        <v>1</v>
      </c>
      <c r="I118" s="0" t="str">
        <f aca="false">IF(A118="","",IF(C119=C118,1,""))</f>
        <v/>
      </c>
      <c r="J118" s="0" t="str">
        <f aca="false">IF(A118="","",IF(C118=C117,1,""))</f>
        <v/>
      </c>
      <c r="K118" s="0" t="str">
        <f aca="false">IF(I118=1,1,IF(J118=1,1,""))</f>
        <v/>
      </c>
      <c r="L118" s="0" t="str">
        <f aca="false">IFERROR(IF(AND(H117="",H118=""),"",IF(H118="TP1",1,IF(H118="TP3",15,IF(AND(A118="",L117=15),"",IF(H117="CAB",L117,L117+1))))),"")</f>
        <v/>
      </c>
      <c r="M118" s="0" t="str">
        <f aca="false">IF(A118="","",IF(H118="TP1","1"&amp;"_"&amp;C118,IF(H118="TP3","15"&amp;"_"&amp;C118,L118&amp;"_"&amp;D118)))</f>
        <v/>
      </c>
      <c r="N118" s="0" t="str">
        <f aca="false">E117&amp;IF(F118=1,"T","")</f>
        <v/>
      </c>
      <c r="O118" s="0" t="str">
        <f aca="false">IFERROR(((IF(L118=1,0,IF(L118=15,VARIÁVEIS!$B$34,((MID(C118,1,(SEARCH(".",C118,1)-1))&amp;","&amp;MID(C118,(SEARCH(".",C118,1)+1),1))&amp;"0")*1)))*1),"")</f>
        <v/>
      </c>
      <c r="P118" s="0" t="str">
        <f aca="false">(IFERROR(D118/32,""))</f>
        <v/>
      </c>
    </row>
    <row r="119" customFormat="false" ht="12.75" hidden="false" customHeight="false" outlineLevel="0" collapsed="false">
      <c r="A119" s="0" t="str">
        <f aca="false">IF('Leitura .bpp --&gt; .csv'!F163="","",'Leitura .bpp --&gt; .csv'!F163)</f>
        <v/>
      </c>
      <c r="B119" s="0" t="str">
        <f aca="false">IF('Leitura .bpp --&gt; .csv'!G163="","",'Leitura .bpp --&gt; .csv'!G163)</f>
        <v/>
      </c>
      <c r="C119" s="0" t="str">
        <f aca="false">IF('Leitura .bpp --&gt; .csv'!H163="","",'Leitura .bpp --&gt; .csv'!H163)</f>
        <v/>
      </c>
      <c r="D119" s="0" t="str">
        <f aca="false">IF('Leitura .bpp --&gt; .csv'!I163="","",'Leitura .bpp --&gt; .csv'!I163)</f>
        <v/>
      </c>
      <c r="E119" s="0" t="str">
        <f aca="false">IF('Leitura .bpp --&gt; .csv'!L163="","",'Leitura .bpp --&gt; .csv'!L163)</f>
        <v/>
      </c>
      <c r="F119" s="0" t="str">
        <f aca="false">IF('Leitura .bpp --&gt; .csv'!M163="","",'Leitura .bpp --&gt; .csv'!M163)</f>
        <v/>
      </c>
      <c r="G119" s="0" t="str">
        <f aca="false">IF('Leitura .bpp --&gt; .csv'!K163="","",'Leitura .bpp --&gt; .csv'!K163)</f>
        <v/>
      </c>
      <c r="H119" s="0" t="n">
        <f aca="false">IF(A119="",1,IF(A119=" 0 : 1","TP1",IF(A119=" 0 : 3","TP3","CAB")))</f>
        <v>1</v>
      </c>
      <c r="I119" s="0" t="str">
        <f aca="false">IF(A119="","",IF(C120=C119,1,""))</f>
        <v/>
      </c>
      <c r="J119" s="0" t="str">
        <f aca="false">IF(A119="","",IF(C119=C118,1,""))</f>
        <v/>
      </c>
      <c r="K119" s="0" t="str">
        <f aca="false">IF(I119=1,1,IF(J119=1,1,""))</f>
        <v/>
      </c>
      <c r="L119" s="0" t="str">
        <f aca="false">IFERROR(IF(AND(H118="",H119=""),"",IF(H119="TP1",1,IF(H119="TP3",15,IF(AND(A119="",L118=15),"",IF(H118="CAB",L118,L118+1))))),"")</f>
        <v/>
      </c>
      <c r="M119" s="0" t="str">
        <f aca="false">IF(A119="","",IF(H119="TP1","1"&amp;"_"&amp;C119,IF(H119="TP3","15"&amp;"_"&amp;C119,L119&amp;"_"&amp;D119)))</f>
        <v/>
      </c>
      <c r="N119" s="0" t="str">
        <f aca="false">E118&amp;IF(F119=1,"T","")</f>
        <v/>
      </c>
      <c r="O119" s="0" t="str">
        <f aca="false">IFERROR(((IF(L119=1,0,IF(L119=15,VARIÁVEIS!$B$34,((MID(C119,1,(SEARCH(".",C119,1)-1))&amp;","&amp;MID(C119,(SEARCH(".",C119,1)+1),1))&amp;"0")*1)))*1),"")</f>
        <v/>
      </c>
      <c r="P119" s="0" t="str">
        <f aca="false">(IFERROR(D119/32,""))</f>
        <v/>
      </c>
    </row>
    <row r="120" customFormat="false" ht="12.75" hidden="false" customHeight="false" outlineLevel="0" collapsed="false">
      <c r="A120" s="0" t="str">
        <f aca="false">IF('Leitura .bpp --&gt; .csv'!F164="","",'Leitura .bpp --&gt; .csv'!F164)</f>
        <v/>
      </c>
      <c r="B120" s="0" t="str">
        <f aca="false">IF('Leitura .bpp --&gt; .csv'!G164="","",'Leitura .bpp --&gt; .csv'!G164)</f>
        <v/>
      </c>
      <c r="C120" s="0" t="str">
        <f aca="false">IF('Leitura .bpp --&gt; .csv'!H164="","",'Leitura .bpp --&gt; .csv'!H164)</f>
        <v/>
      </c>
      <c r="D120" s="0" t="str">
        <f aca="false">IF('Leitura .bpp --&gt; .csv'!I164="","",'Leitura .bpp --&gt; .csv'!I164)</f>
        <v/>
      </c>
      <c r="E120" s="0" t="str">
        <f aca="false">IF('Leitura .bpp --&gt; .csv'!L164="","",'Leitura .bpp --&gt; .csv'!L164)</f>
        <v/>
      </c>
      <c r="F120" s="0" t="str">
        <f aca="false">IF('Leitura .bpp --&gt; .csv'!M164="","",'Leitura .bpp --&gt; .csv'!M164)</f>
        <v/>
      </c>
      <c r="G120" s="0" t="str">
        <f aca="false">IF('Leitura .bpp --&gt; .csv'!K164="","",'Leitura .bpp --&gt; .csv'!K164)</f>
        <v/>
      </c>
      <c r="H120" s="0" t="n">
        <f aca="false">IF(A120="",1,IF(A120=" 0 : 1","TP1",IF(A120=" 0 : 3","TP3","CAB")))</f>
        <v>1</v>
      </c>
      <c r="I120" s="0" t="str">
        <f aca="false">IF(A120="","",IF(C121=C120,1,""))</f>
        <v/>
      </c>
      <c r="J120" s="0" t="str">
        <f aca="false">IF(A120="","",IF(C120=C119,1,""))</f>
        <v/>
      </c>
      <c r="K120" s="0" t="str">
        <f aca="false">IF(I120=1,1,IF(J120=1,1,""))</f>
        <v/>
      </c>
      <c r="L120" s="0" t="str">
        <f aca="false">IFERROR(IF(AND(H119="",H120=""),"",IF(H120="TP1",1,IF(H120="TP3",15,IF(AND(A120="",L119=15),"",IF(H119="CAB",L119,L119+1))))),"")</f>
        <v/>
      </c>
      <c r="M120" s="0" t="str">
        <f aca="false">IF(A120="","",IF(H120="TP1","1"&amp;"_"&amp;C120,IF(H120="TP3","15"&amp;"_"&amp;C120,L120&amp;"_"&amp;D120)))</f>
        <v/>
      </c>
      <c r="N120" s="0" t="str">
        <f aca="false">E119&amp;IF(F120=1,"T","")</f>
        <v/>
      </c>
      <c r="O120" s="0" t="str">
        <f aca="false">IFERROR(((IF(L120=1,0,IF(L120=15,VARIÁVEIS!$B$34,((MID(C120,1,(SEARCH(".",C120,1)-1))&amp;","&amp;MID(C120,(SEARCH(".",C120,1)+1),1))&amp;"0")*1)))*1),"")</f>
        <v/>
      </c>
      <c r="P120" s="0" t="str">
        <f aca="false">(IFERROR(D120/32,""))</f>
        <v/>
      </c>
    </row>
    <row r="121" customFormat="false" ht="12.75" hidden="false" customHeight="false" outlineLevel="0" collapsed="false">
      <c r="A121" s="0" t="str">
        <f aca="false">IF('Leitura .bpp --&gt; .csv'!F165="","",'Leitura .bpp --&gt; .csv'!F165)</f>
        <v/>
      </c>
      <c r="B121" s="0" t="str">
        <f aca="false">IF('Leitura .bpp --&gt; .csv'!G165="","",'Leitura .bpp --&gt; .csv'!G165)</f>
        <v/>
      </c>
      <c r="C121" s="0" t="str">
        <f aca="false">IF('Leitura .bpp --&gt; .csv'!H165="","",'Leitura .bpp --&gt; .csv'!H165)</f>
        <v/>
      </c>
      <c r="D121" s="0" t="str">
        <f aca="false">IF('Leitura .bpp --&gt; .csv'!I165="","",'Leitura .bpp --&gt; .csv'!I165)</f>
        <v/>
      </c>
      <c r="E121" s="0" t="str">
        <f aca="false">IF('Leitura .bpp --&gt; .csv'!L165="","",'Leitura .bpp --&gt; .csv'!L165)</f>
        <v/>
      </c>
      <c r="F121" s="0" t="str">
        <f aca="false">IF('Leitura .bpp --&gt; .csv'!M165="","",'Leitura .bpp --&gt; .csv'!M165)</f>
        <v/>
      </c>
      <c r="G121" s="0" t="str">
        <f aca="false">IF('Leitura .bpp --&gt; .csv'!K165="","",'Leitura .bpp --&gt; .csv'!K165)</f>
        <v/>
      </c>
      <c r="H121" s="0" t="n">
        <f aca="false">IF(A121="",1,IF(A121=" 0 : 1","TP1",IF(A121=" 0 : 3","TP3","CAB")))</f>
        <v>1</v>
      </c>
      <c r="I121" s="0" t="str">
        <f aca="false">IF(A121="","",IF(C122=C121,1,""))</f>
        <v/>
      </c>
      <c r="J121" s="0" t="str">
        <f aca="false">IF(A121="","",IF(C121=C120,1,""))</f>
        <v/>
      </c>
      <c r="K121" s="0" t="str">
        <f aca="false">IF(I121=1,1,IF(J121=1,1,""))</f>
        <v/>
      </c>
      <c r="L121" s="0" t="str">
        <f aca="false">IFERROR(IF(AND(H120="",H121=""),"",IF(H121="TP1",1,IF(H121="TP3",15,IF(AND(A121="",L120=15),"",IF(H120="CAB",L120,L120+1))))),"")</f>
        <v/>
      </c>
      <c r="M121" s="0" t="str">
        <f aca="false">IF(A121="","",IF(H121="TP1","1"&amp;"_"&amp;C121,IF(H121="TP3","15"&amp;"_"&amp;C121,L121&amp;"_"&amp;D121)))</f>
        <v/>
      </c>
      <c r="N121" s="0" t="str">
        <f aca="false">E120&amp;IF(F121=1,"T","")</f>
        <v/>
      </c>
      <c r="O121" s="0" t="str">
        <f aca="false">IFERROR(((IF(L121=1,0,IF(L121=15,VARIÁVEIS!$B$34,((MID(C121,1,(SEARCH(".",C121,1)-1))&amp;","&amp;MID(C121,(SEARCH(".",C121,1)+1),1))&amp;"0")*1)))*1),"")</f>
        <v/>
      </c>
      <c r="P121" s="0" t="str">
        <f aca="false">(IFERROR(D121/32,""))</f>
        <v/>
      </c>
    </row>
    <row r="122" customFormat="false" ht="12.75" hidden="false" customHeight="false" outlineLevel="0" collapsed="false">
      <c r="A122" s="0" t="str">
        <f aca="false">IF('Leitura .bpp --&gt; .csv'!F166="","",'Leitura .bpp --&gt; .csv'!F166)</f>
        <v/>
      </c>
      <c r="B122" s="0" t="str">
        <f aca="false">IF('Leitura .bpp --&gt; .csv'!G166="","",'Leitura .bpp --&gt; .csv'!G166)</f>
        <v/>
      </c>
      <c r="C122" s="0" t="str">
        <f aca="false">IF('Leitura .bpp --&gt; .csv'!H166="","",'Leitura .bpp --&gt; .csv'!H166)</f>
        <v/>
      </c>
      <c r="D122" s="0" t="str">
        <f aca="false">IF('Leitura .bpp --&gt; .csv'!I166="","",'Leitura .bpp --&gt; .csv'!I166)</f>
        <v/>
      </c>
      <c r="E122" s="0" t="str">
        <f aca="false">IF('Leitura .bpp --&gt; .csv'!L166="","",'Leitura .bpp --&gt; .csv'!L166)</f>
        <v/>
      </c>
      <c r="F122" s="0" t="str">
        <f aca="false">IF('Leitura .bpp --&gt; .csv'!M166="","",'Leitura .bpp --&gt; .csv'!M166)</f>
        <v/>
      </c>
      <c r="G122" s="0" t="str">
        <f aca="false">IF('Leitura .bpp --&gt; .csv'!K166="","",'Leitura .bpp --&gt; .csv'!K166)</f>
        <v/>
      </c>
      <c r="H122" s="0" t="n">
        <f aca="false">IF(A122="",1,IF(A122=" 0 : 1","TP1",IF(A122=" 0 : 3","TP3","CAB")))</f>
        <v>1</v>
      </c>
      <c r="I122" s="0" t="str">
        <f aca="false">IF(A122="","",IF(C123=C122,1,""))</f>
        <v/>
      </c>
      <c r="J122" s="0" t="str">
        <f aca="false">IF(A122="","",IF(C122=C121,1,""))</f>
        <v/>
      </c>
      <c r="K122" s="0" t="str">
        <f aca="false">IF(I122=1,1,IF(J122=1,1,""))</f>
        <v/>
      </c>
      <c r="L122" s="0" t="str">
        <f aca="false">IFERROR(IF(AND(H121="",H122=""),"",IF(H122="TP1",1,IF(H122="TP3",15,IF(AND(A122="",L121=15),"",IF(H121="CAB",L121,L121+1))))),"")</f>
        <v/>
      </c>
      <c r="M122" s="0" t="str">
        <f aca="false">IF(A122="","",IF(H122="TP1","1"&amp;"_"&amp;C122,IF(H122="TP3","15"&amp;"_"&amp;C122,L122&amp;"_"&amp;D122)))</f>
        <v/>
      </c>
      <c r="N122" s="0" t="str">
        <f aca="false">E121&amp;IF(F122=1,"T","")</f>
        <v/>
      </c>
      <c r="O122" s="0" t="str">
        <f aca="false">IFERROR(((IF(L122=1,0,IF(L122=15,VARIÁVEIS!$B$34,((MID(C122,1,(SEARCH(".",C122,1)-1))&amp;","&amp;MID(C122,(SEARCH(".",C122,1)+1),1))&amp;"0")*1)))*1),"")</f>
        <v/>
      </c>
      <c r="P122" s="0" t="str">
        <f aca="false">(IFERROR(D122/32,""))</f>
        <v/>
      </c>
    </row>
    <row r="123" customFormat="false" ht="12.75" hidden="false" customHeight="false" outlineLevel="0" collapsed="false">
      <c r="A123" s="0" t="str">
        <f aca="false">IF('Leitura .bpp --&gt; .csv'!F167="","",'Leitura .bpp --&gt; .csv'!F167)</f>
        <v/>
      </c>
      <c r="B123" s="0" t="str">
        <f aca="false">IF('Leitura .bpp --&gt; .csv'!G167="","",'Leitura .bpp --&gt; .csv'!G167)</f>
        <v/>
      </c>
      <c r="C123" s="0" t="str">
        <f aca="false">IF('Leitura .bpp --&gt; .csv'!H167="","",'Leitura .bpp --&gt; .csv'!H167)</f>
        <v/>
      </c>
      <c r="D123" s="0" t="str">
        <f aca="false">IF('Leitura .bpp --&gt; .csv'!I167="","",'Leitura .bpp --&gt; .csv'!I167)</f>
        <v/>
      </c>
      <c r="E123" s="0" t="str">
        <f aca="false">IF('Leitura .bpp --&gt; .csv'!L167="","",'Leitura .bpp --&gt; .csv'!L167)</f>
        <v/>
      </c>
      <c r="F123" s="0" t="str">
        <f aca="false">IF('Leitura .bpp --&gt; .csv'!M167="","",'Leitura .bpp --&gt; .csv'!M167)</f>
        <v/>
      </c>
      <c r="G123" s="0" t="str">
        <f aca="false">IF('Leitura .bpp --&gt; .csv'!K167="","",'Leitura .bpp --&gt; .csv'!K167)</f>
        <v/>
      </c>
      <c r="H123" s="0" t="n">
        <f aca="false">IF(A123="",1,IF(A123=" 0 : 1","TP1",IF(A123=" 0 : 3","TP3","CAB")))</f>
        <v>1</v>
      </c>
      <c r="I123" s="0" t="str">
        <f aca="false">IF(A123="","",IF(C124=C123,1,""))</f>
        <v/>
      </c>
      <c r="J123" s="0" t="str">
        <f aca="false">IF(A123="","",IF(C123=C122,1,""))</f>
        <v/>
      </c>
      <c r="K123" s="0" t="str">
        <f aca="false">IF(I123=1,1,IF(J123=1,1,""))</f>
        <v/>
      </c>
      <c r="L123" s="0" t="str">
        <f aca="false">IFERROR(IF(AND(H122="",H123=""),"",IF(H123="TP1",1,IF(H123="TP3",15,IF(AND(A123="",L122=15),"",IF(H122="CAB",L122,L122+1))))),"")</f>
        <v/>
      </c>
      <c r="M123" s="0" t="str">
        <f aca="false">IF(A123="","",IF(H123="TP1","1"&amp;"_"&amp;C123,IF(H123="TP3","15"&amp;"_"&amp;C123,L123&amp;"_"&amp;D123)))</f>
        <v/>
      </c>
      <c r="N123" s="0" t="str">
        <f aca="false">E122&amp;IF(F123=1,"T","")</f>
        <v/>
      </c>
      <c r="O123" s="0" t="str">
        <f aca="false">IFERROR(((IF(L123=1,0,IF(L123=15,VARIÁVEIS!$B$34,((MID(C123,1,(SEARCH(".",C123,1)-1))&amp;","&amp;MID(C123,(SEARCH(".",C123,1)+1),1))&amp;"0")*1)))*1),"")</f>
        <v/>
      </c>
      <c r="P123" s="0" t="str">
        <f aca="false">(IFERROR(D123/32,""))</f>
        <v/>
      </c>
    </row>
    <row r="124" customFormat="false" ht="12.75" hidden="false" customHeight="false" outlineLevel="0" collapsed="false">
      <c r="A124" s="0" t="str">
        <f aca="false">IF('Leitura .bpp --&gt; .csv'!F168="","",'Leitura .bpp --&gt; .csv'!F168)</f>
        <v/>
      </c>
      <c r="B124" s="0" t="str">
        <f aca="false">IF('Leitura .bpp --&gt; .csv'!G168="","",'Leitura .bpp --&gt; .csv'!G168)</f>
        <v/>
      </c>
      <c r="C124" s="0" t="str">
        <f aca="false">IF('Leitura .bpp --&gt; .csv'!H168="","",'Leitura .bpp --&gt; .csv'!H168)</f>
        <v/>
      </c>
      <c r="D124" s="0" t="str">
        <f aca="false">IF('Leitura .bpp --&gt; .csv'!I168="","",'Leitura .bpp --&gt; .csv'!I168)</f>
        <v/>
      </c>
      <c r="E124" s="0" t="str">
        <f aca="false">IF('Leitura .bpp --&gt; .csv'!L168="","",'Leitura .bpp --&gt; .csv'!L168)</f>
        <v/>
      </c>
      <c r="F124" s="0" t="str">
        <f aca="false">IF('Leitura .bpp --&gt; .csv'!M168="","",'Leitura .bpp --&gt; .csv'!M168)</f>
        <v/>
      </c>
      <c r="G124" s="0" t="str">
        <f aca="false">IF('Leitura .bpp --&gt; .csv'!K168="","",'Leitura .bpp --&gt; .csv'!K168)</f>
        <v/>
      </c>
      <c r="H124" s="0" t="n">
        <f aca="false">IF(A124="",1,IF(A124=" 0 : 1","TP1",IF(A124=" 0 : 3","TP3","CAB")))</f>
        <v>1</v>
      </c>
      <c r="I124" s="0" t="str">
        <f aca="false">IF(A124="","",IF(C125=C124,1,""))</f>
        <v/>
      </c>
      <c r="J124" s="0" t="str">
        <f aca="false">IF(A124="","",IF(C124=C123,1,""))</f>
        <v/>
      </c>
      <c r="K124" s="0" t="str">
        <f aca="false">IF(I124=1,1,IF(J124=1,1,""))</f>
        <v/>
      </c>
      <c r="L124" s="0" t="str">
        <f aca="false">IFERROR(IF(AND(H123="",H124=""),"",IF(H124="TP1",1,IF(H124="TP3",15,IF(AND(A124="",L123=15),"",IF(H123="CAB",L123,L123+1))))),"")</f>
        <v/>
      </c>
      <c r="M124" s="0" t="str">
        <f aca="false">IF(A124="","",IF(H124="TP1","1"&amp;"_"&amp;C124,IF(H124="TP3","15"&amp;"_"&amp;C124,L124&amp;"_"&amp;D124)))</f>
        <v/>
      </c>
      <c r="N124" s="0" t="str">
        <f aca="false">E123&amp;IF(F124=1,"T","")</f>
        <v/>
      </c>
      <c r="O124" s="0" t="str">
        <f aca="false">IFERROR(((IF(L124=1,0,IF(L124=15,VARIÁVEIS!$B$34,((MID(C124,1,(SEARCH(".",C124,1)-1))&amp;","&amp;MID(C124,(SEARCH(".",C124,1)+1),1))&amp;"0")*1)))*1),"")</f>
        <v/>
      </c>
      <c r="P124" s="0" t="str">
        <f aca="false">(IFERROR(D124/32,""))</f>
        <v/>
      </c>
    </row>
    <row r="125" customFormat="false" ht="12.75" hidden="false" customHeight="false" outlineLevel="0" collapsed="false">
      <c r="A125" s="0" t="str">
        <f aca="false">IF('Leitura .bpp --&gt; .csv'!F169="","",'Leitura .bpp --&gt; .csv'!F169)</f>
        <v/>
      </c>
      <c r="B125" s="0" t="str">
        <f aca="false">IF('Leitura .bpp --&gt; .csv'!G169="","",'Leitura .bpp --&gt; .csv'!G169)</f>
        <v/>
      </c>
      <c r="C125" s="0" t="str">
        <f aca="false">IF('Leitura .bpp --&gt; .csv'!H169="","",'Leitura .bpp --&gt; .csv'!H169)</f>
        <v/>
      </c>
      <c r="D125" s="0" t="str">
        <f aca="false">IF('Leitura .bpp --&gt; .csv'!I169="","",'Leitura .bpp --&gt; .csv'!I169)</f>
        <v/>
      </c>
      <c r="E125" s="0" t="str">
        <f aca="false">IF('Leitura .bpp --&gt; .csv'!L169="","",'Leitura .bpp --&gt; .csv'!L169)</f>
        <v/>
      </c>
      <c r="F125" s="0" t="str">
        <f aca="false">IF('Leitura .bpp --&gt; .csv'!M169="","",'Leitura .bpp --&gt; .csv'!M169)</f>
        <v/>
      </c>
      <c r="G125" s="0" t="str">
        <f aca="false">IF('Leitura .bpp --&gt; .csv'!K169="","",'Leitura .bpp --&gt; .csv'!K169)</f>
        <v/>
      </c>
      <c r="H125" s="0" t="n">
        <f aca="false">IF(A125="",1,IF(A125=" 0 : 1","TP1",IF(A125=" 0 : 3","TP3","CAB")))</f>
        <v>1</v>
      </c>
      <c r="I125" s="0" t="str">
        <f aca="false">IF(A125="","",IF(C126=C125,1,""))</f>
        <v/>
      </c>
      <c r="J125" s="0" t="str">
        <f aca="false">IF(A125="","",IF(C125=C124,1,""))</f>
        <v/>
      </c>
      <c r="K125" s="0" t="str">
        <f aca="false">IF(I125=1,1,IF(J125=1,1,""))</f>
        <v/>
      </c>
      <c r="L125" s="0" t="str">
        <f aca="false">IFERROR(IF(AND(H124="",H125=""),"",IF(H125="TP1",1,IF(H125="TP3",15,IF(AND(A125="",L124=15),"",IF(H124="CAB",L124,L124+1))))),"")</f>
        <v/>
      </c>
      <c r="M125" s="0" t="str">
        <f aca="false">IF(A125="","",IF(H125="TP1","1"&amp;"_"&amp;C125,IF(H125="TP3","15"&amp;"_"&amp;C125,L125&amp;"_"&amp;D125)))</f>
        <v/>
      </c>
      <c r="N125" s="0" t="str">
        <f aca="false">E124&amp;IF(F125=1,"T","")</f>
        <v/>
      </c>
      <c r="O125" s="0" t="str">
        <f aca="false">IFERROR(((IF(L125=1,0,IF(L125=15,VARIÁVEIS!$B$34,((MID(C125,1,(SEARCH(".",C125,1)-1))&amp;","&amp;MID(C125,(SEARCH(".",C125,1)+1),1))&amp;"0")*1)))*1),"")</f>
        <v/>
      </c>
      <c r="P125" s="0" t="str">
        <f aca="false">(IFERROR(D125/32,""))</f>
        <v/>
      </c>
    </row>
    <row r="126" customFormat="false" ht="12.75" hidden="false" customHeight="false" outlineLevel="0" collapsed="false">
      <c r="A126" s="0" t="str">
        <f aca="false">IF('Leitura .bpp --&gt; .csv'!F170="","",'Leitura .bpp --&gt; .csv'!F170)</f>
        <v/>
      </c>
      <c r="B126" s="0" t="str">
        <f aca="false">IF('Leitura .bpp --&gt; .csv'!G170="","",'Leitura .bpp --&gt; .csv'!G170)</f>
        <v/>
      </c>
      <c r="C126" s="0" t="str">
        <f aca="false">IF('Leitura .bpp --&gt; .csv'!H170="","",'Leitura .bpp --&gt; .csv'!H170)</f>
        <v/>
      </c>
      <c r="D126" s="0" t="str">
        <f aca="false">IF('Leitura .bpp --&gt; .csv'!I170="","",'Leitura .bpp --&gt; .csv'!I170)</f>
        <v/>
      </c>
      <c r="E126" s="0" t="str">
        <f aca="false">IF('Leitura .bpp --&gt; .csv'!L170="","",'Leitura .bpp --&gt; .csv'!L170)</f>
        <v/>
      </c>
      <c r="F126" s="0" t="str">
        <f aca="false">IF('Leitura .bpp --&gt; .csv'!M170="","",'Leitura .bpp --&gt; .csv'!M170)</f>
        <v/>
      </c>
      <c r="G126" s="0" t="str">
        <f aca="false">IF('Leitura .bpp --&gt; .csv'!K170="","",'Leitura .bpp --&gt; .csv'!K170)</f>
        <v/>
      </c>
      <c r="H126" s="0" t="n">
        <f aca="false">IF(A126="",1,IF(A126=" 0 : 1","TP1",IF(A126=" 0 : 3","TP3","CAB")))</f>
        <v>1</v>
      </c>
      <c r="I126" s="0" t="str">
        <f aca="false">IF(A126="","",IF(C127=C126,1,""))</f>
        <v/>
      </c>
      <c r="J126" s="0" t="str">
        <f aca="false">IF(A126="","",IF(C126=C125,1,""))</f>
        <v/>
      </c>
      <c r="K126" s="0" t="str">
        <f aca="false">IF(I126=1,1,IF(J126=1,1,""))</f>
        <v/>
      </c>
      <c r="L126" s="0" t="str">
        <f aca="false">IFERROR(IF(AND(H125="",H126=""),"",IF(H126="TP1",1,IF(H126="TP3",15,IF(AND(A126="",L125=15),"",IF(H125="CAB",L125,L125+1))))),"")</f>
        <v/>
      </c>
      <c r="M126" s="0" t="str">
        <f aca="false">IF(A126="","",IF(H126="TP1","1"&amp;"_"&amp;C126,IF(H126="TP3","15"&amp;"_"&amp;C126,L126&amp;"_"&amp;D126)))</f>
        <v/>
      </c>
      <c r="N126" s="0" t="str">
        <f aca="false">E125&amp;IF(F126=1,"T","")</f>
        <v/>
      </c>
      <c r="O126" s="0" t="str">
        <f aca="false">IFERROR(((IF(L126=1,0,IF(L126=15,VARIÁVEIS!$B$34,((MID(C126,1,(SEARCH(".",C126,1)-1))&amp;","&amp;MID(C126,(SEARCH(".",C126,1)+1),1))&amp;"0")*1)))*1),"")</f>
        <v/>
      </c>
      <c r="P126" s="0" t="str">
        <f aca="false">(IFERROR(D126/32,""))</f>
        <v/>
      </c>
    </row>
    <row r="127" customFormat="false" ht="12.75" hidden="false" customHeight="false" outlineLevel="0" collapsed="false">
      <c r="A127" s="0" t="str">
        <f aca="false">IF('Leitura .bpp --&gt; .csv'!F171="","",'Leitura .bpp --&gt; .csv'!F171)</f>
        <v/>
      </c>
      <c r="B127" s="0" t="str">
        <f aca="false">IF('Leitura .bpp --&gt; .csv'!G171="","",'Leitura .bpp --&gt; .csv'!G171)</f>
        <v/>
      </c>
      <c r="C127" s="0" t="str">
        <f aca="false">IF('Leitura .bpp --&gt; .csv'!H171="","",'Leitura .bpp --&gt; .csv'!H171)</f>
        <v/>
      </c>
      <c r="D127" s="0" t="str">
        <f aca="false">IF('Leitura .bpp --&gt; .csv'!I171="","",'Leitura .bpp --&gt; .csv'!I171)</f>
        <v/>
      </c>
      <c r="E127" s="0" t="str">
        <f aca="false">IF('Leitura .bpp --&gt; .csv'!L171="","",'Leitura .bpp --&gt; .csv'!L171)</f>
        <v/>
      </c>
      <c r="F127" s="0" t="str">
        <f aca="false">IF('Leitura .bpp --&gt; .csv'!M171="","",'Leitura .bpp --&gt; .csv'!M171)</f>
        <v/>
      </c>
      <c r="G127" s="0" t="str">
        <f aca="false">IF('Leitura .bpp --&gt; .csv'!K171="","",'Leitura .bpp --&gt; .csv'!K171)</f>
        <v/>
      </c>
      <c r="H127" s="0" t="n">
        <f aca="false">IF(A127="",1,IF(A127=" 0 : 1","TP1",IF(A127=" 0 : 3","TP3","CAB")))</f>
        <v>1</v>
      </c>
      <c r="I127" s="0" t="str">
        <f aca="false">IF(A127="","",IF(C128=C127,1,""))</f>
        <v/>
      </c>
      <c r="J127" s="0" t="str">
        <f aca="false">IF(A127="","",IF(C127=C126,1,""))</f>
        <v/>
      </c>
      <c r="K127" s="0" t="str">
        <f aca="false">IF(I127=1,1,IF(J127=1,1,""))</f>
        <v/>
      </c>
      <c r="L127" s="0" t="str">
        <f aca="false">IFERROR(IF(AND(H126="",H127=""),"",IF(H127="TP1",1,IF(H127="TP3",15,IF(AND(A127="",L126=15),"",IF(H126="CAB",L126,L126+1))))),"")</f>
        <v/>
      </c>
      <c r="M127" s="0" t="str">
        <f aca="false">IF(A127="","",IF(H127="TP1","1"&amp;"_"&amp;C127,IF(H127="TP3","15"&amp;"_"&amp;C127,L127&amp;"_"&amp;D127)))</f>
        <v/>
      </c>
      <c r="N127" s="0" t="str">
        <f aca="false">E126&amp;IF(F127=1,"T","")</f>
        <v/>
      </c>
      <c r="O127" s="0" t="str">
        <f aca="false">IFERROR(((IF(L127=1,0,IF(L127=15,VARIÁVEIS!$B$34,((MID(C127,1,(SEARCH(".",C127,1)-1))&amp;","&amp;MID(C127,(SEARCH(".",C127,1)+1),1))&amp;"0")*1)))*1),"")</f>
        <v/>
      </c>
      <c r="P127" s="0" t="str">
        <f aca="false">(IFERROR(D127/32,""))</f>
        <v/>
      </c>
    </row>
    <row r="128" customFormat="false" ht="12.75" hidden="false" customHeight="false" outlineLevel="0" collapsed="false">
      <c r="A128" s="0" t="str">
        <f aca="false">IF('Leitura .bpp --&gt; .csv'!F172="","",'Leitura .bpp --&gt; .csv'!F172)</f>
        <v/>
      </c>
      <c r="B128" s="0" t="str">
        <f aca="false">IF('Leitura .bpp --&gt; .csv'!G172="","",'Leitura .bpp --&gt; .csv'!G172)</f>
        <v/>
      </c>
      <c r="C128" s="0" t="str">
        <f aca="false">IF('Leitura .bpp --&gt; .csv'!H172="","",'Leitura .bpp --&gt; .csv'!H172)</f>
        <v/>
      </c>
      <c r="D128" s="0" t="str">
        <f aca="false">IF('Leitura .bpp --&gt; .csv'!I172="","",'Leitura .bpp --&gt; .csv'!I172)</f>
        <v/>
      </c>
      <c r="E128" s="0" t="str">
        <f aca="false">IF('Leitura .bpp --&gt; .csv'!L172="","",'Leitura .bpp --&gt; .csv'!L172)</f>
        <v/>
      </c>
      <c r="F128" s="0" t="str">
        <f aca="false">IF('Leitura .bpp --&gt; .csv'!M172="","",'Leitura .bpp --&gt; .csv'!M172)</f>
        <v/>
      </c>
      <c r="G128" s="0" t="str">
        <f aca="false">IF('Leitura .bpp --&gt; .csv'!K172="","",'Leitura .bpp --&gt; .csv'!K172)</f>
        <v/>
      </c>
      <c r="H128" s="0" t="n">
        <f aca="false">IF(A128="",1,IF(A128=" 0 : 1","TP1",IF(A128=" 0 : 3","TP3","CAB")))</f>
        <v>1</v>
      </c>
      <c r="I128" s="0" t="str">
        <f aca="false">IF(A128="","",IF(C129=C128,1,""))</f>
        <v/>
      </c>
      <c r="J128" s="0" t="str">
        <f aca="false">IF(A128="","",IF(C128=C127,1,""))</f>
        <v/>
      </c>
      <c r="K128" s="0" t="str">
        <f aca="false">IF(I128=1,1,IF(J128=1,1,""))</f>
        <v/>
      </c>
      <c r="L128" s="0" t="str">
        <f aca="false">IFERROR(IF(AND(H127="",H128=""),"",IF(H128="TP1",1,IF(H128="TP3",15,IF(AND(A128="",L127=15),"",IF(H127="CAB",L127,L127+1))))),"")</f>
        <v/>
      </c>
      <c r="M128" s="0" t="str">
        <f aca="false">IF(A128="","",IF(H128="TP1","1"&amp;"_"&amp;C128,IF(H128="TP3","15"&amp;"_"&amp;C128,L128&amp;"_"&amp;D128)))</f>
        <v/>
      </c>
      <c r="N128" s="0" t="str">
        <f aca="false">E127&amp;IF(F128=1,"T","")</f>
        <v/>
      </c>
      <c r="O128" s="0" t="str">
        <f aca="false">IFERROR(((IF(L128=1,0,IF(L128=15,VARIÁVEIS!$B$34,((MID(C128,1,(SEARCH(".",C128,1)-1))&amp;","&amp;MID(C128,(SEARCH(".",C128,1)+1),1))&amp;"0")*1)))*1),"")</f>
        <v/>
      </c>
      <c r="P128" s="0" t="str">
        <f aca="false">(IFERROR(D128/32,""))</f>
        <v/>
      </c>
    </row>
    <row r="129" customFormat="false" ht="12.75" hidden="false" customHeight="false" outlineLevel="0" collapsed="false">
      <c r="A129" s="0" t="str">
        <f aca="false">IF('Leitura .bpp --&gt; .csv'!F173="","",'Leitura .bpp --&gt; .csv'!F173)</f>
        <v/>
      </c>
      <c r="B129" s="0" t="str">
        <f aca="false">IF('Leitura .bpp --&gt; .csv'!G173="","",'Leitura .bpp --&gt; .csv'!G173)</f>
        <v/>
      </c>
      <c r="C129" s="0" t="str">
        <f aca="false">IF('Leitura .bpp --&gt; .csv'!H173="","",'Leitura .bpp --&gt; .csv'!H173)</f>
        <v/>
      </c>
      <c r="D129" s="0" t="str">
        <f aca="false">IF('Leitura .bpp --&gt; .csv'!I173="","",'Leitura .bpp --&gt; .csv'!I173)</f>
        <v/>
      </c>
      <c r="E129" s="0" t="str">
        <f aca="false">IF('Leitura .bpp --&gt; .csv'!L173="","",'Leitura .bpp --&gt; .csv'!L173)</f>
        <v/>
      </c>
      <c r="F129" s="0" t="str">
        <f aca="false">IF('Leitura .bpp --&gt; .csv'!M173="","",'Leitura .bpp --&gt; .csv'!M173)</f>
        <v/>
      </c>
      <c r="G129" s="0" t="str">
        <f aca="false">IF('Leitura .bpp --&gt; .csv'!K173="","",'Leitura .bpp --&gt; .csv'!K173)</f>
        <v/>
      </c>
      <c r="H129" s="0" t="n">
        <f aca="false">IF(A129="",1,IF(A129=" 0 : 1","TP1",IF(A129=" 0 : 3","TP3","CAB")))</f>
        <v>1</v>
      </c>
      <c r="I129" s="0" t="str">
        <f aca="false">IF(A129="","",IF(C130=C129,1,""))</f>
        <v/>
      </c>
      <c r="J129" s="0" t="str">
        <f aca="false">IF(A129="","",IF(C129=C128,1,""))</f>
        <v/>
      </c>
      <c r="K129" s="0" t="str">
        <f aca="false">IF(I129=1,1,IF(J129=1,1,""))</f>
        <v/>
      </c>
      <c r="L129" s="0" t="str">
        <f aca="false">IFERROR(IF(AND(H128="",H129=""),"",IF(H129="TP1",1,IF(H129="TP3",15,IF(AND(A129="",L128=15),"",IF(H128="CAB",L128,L128+1))))),"")</f>
        <v/>
      </c>
      <c r="M129" s="0" t="str">
        <f aca="false">IF(A129="","",IF(H129="TP1","1"&amp;"_"&amp;C129,IF(H129="TP3","15"&amp;"_"&amp;C129,L129&amp;"_"&amp;D129)))</f>
        <v/>
      </c>
      <c r="N129" s="0" t="str">
        <f aca="false">E128&amp;IF(F129=1,"T","")</f>
        <v/>
      </c>
      <c r="O129" s="0" t="str">
        <f aca="false">IFERROR(((IF(L129=1,0,IF(L129=15,VARIÁVEIS!$B$34,((MID(C129,1,(SEARCH(".",C129,1)-1))&amp;","&amp;MID(C129,(SEARCH(".",C129,1)+1),1))&amp;"0")*1)))*1),"")</f>
        <v/>
      </c>
      <c r="P129" s="0" t="str">
        <f aca="false">(IFERROR(D129/32,""))</f>
        <v/>
      </c>
    </row>
    <row r="130" customFormat="false" ht="12.75" hidden="false" customHeight="false" outlineLevel="0" collapsed="false">
      <c r="A130" s="0" t="str">
        <f aca="false">IF('Leitura .bpp --&gt; .csv'!F174="","",'Leitura .bpp --&gt; .csv'!F174)</f>
        <v/>
      </c>
      <c r="B130" s="0" t="str">
        <f aca="false">IF('Leitura .bpp --&gt; .csv'!G174="","",'Leitura .bpp --&gt; .csv'!G174)</f>
        <v/>
      </c>
      <c r="C130" s="0" t="str">
        <f aca="false">IF('Leitura .bpp --&gt; .csv'!H174="","",'Leitura .bpp --&gt; .csv'!H174)</f>
        <v/>
      </c>
      <c r="D130" s="0" t="str">
        <f aca="false">IF('Leitura .bpp --&gt; .csv'!I174="","",'Leitura .bpp --&gt; .csv'!I174)</f>
        <v/>
      </c>
      <c r="E130" s="0" t="str">
        <f aca="false">IF('Leitura .bpp --&gt; .csv'!L174="","",'Leitura .bpp --&gt; .csv'!L174)</f>
        <v/>
      </c>
      <c r="F130" s="0" t="str">
        <f aca="false">IF('Leitura .bpp --&gt; .csv'!M174="","",'Leitura .bpp --&gt; .csv'!M174)</f>
        <v/>
      </c>
      <c r="G130" s="0" t="str">
        <f aca="false">IF('Leitura .bpp --&gt; .csv'!K174="","",'Leitura .bpp --&gt; .csv'!K174)</f>
        <v/>
      </c>
      <c r="H130" s="0" t="n">
        <f aca="false">IF(A130="",1,IF(A130=" 0 : 1","TP1",IF(A130=" 0 : 3","TP3","CAB")))</f>
        <v>1</v>
      </c>
      <c r="I130" s="0" t="str">
        <f aca="false">IF(A130="","",IF(C131=C130,1,""))</f>
        <v/>
      </c>
      <c r="J130" s="0" t="str">
        <f aca="false">IF(A130="","",IF(C130=C129,1,""))</f>
        <v/>
      </c>
      <c r="K130" s="0" t="str">
        <f aca="false">IF(I130=1,1,IF(J130=1,1,""))</f>
        <v/>
      </c>
      <c r="L130" s="0" t="str">
        <f aca="false">IFERROR(IF(AND(H129="",H130=""),"",IF(H130="TP1",1,IF(H130="TP3",15,IF(AND(A130="",L129=15),"",IF(H129="CAB",L129,L129+1))))),"")</f>
        <v/>
      </c>
      <c r="M130" s="0" t="str">
        <f aca="false">IF(A130="","",IF(H130="TP1","1"&amp;"_"&amp;C130,IF(H130="TP3","15"&amp;"_"&amp;C130,L130&amp;"_"&amp;D130)))</f>
        <v/>
      </c>
      <c r="N130" s="0" t="str">
        <f aca="false">E129&amp;IF(F130=1,"T","")</f>
        <v/>
      </c>
      <c r="O130" s="0" t="str">
        <f aca="false">IFERROR(((IF(L130=1,0,IF(L130=15,VARIÁVEIS!$B$34,((MID(C130,1,(SEARCH(".",C130,1)-1))&amp;","&amp;MID(C130,(SEARCH(".",C130,1)+1),1))&amp;"0")*1)))*1),"")</f>
        <v/>
      </c>
      <c r="P130" s="0" t="str">
        <f aca="false">(IFERROR(D130/32,""))</f>
        <v/>
      </c>
    </row>
    <row r="131" customFormat="false" ht="12.75" hidden="false" customHeight="false" outlineLevel="0" collapsed="false">
      <c r="A131" s="0" t="str">
        <f aca="false">IF('Leitura .bpp --&gt; .csv'!F175="","",'Leitura .bpp --&gt; .csv'!F175)</f>
        <v/>
      </c>
      <c r="B131" s="0" t="str">
        <f aca="false">IF('Leitura .bpp --&gt; .csv'!G175="","",'Leitura .bpp --&gt; .csv'!G175)</f>
        <v/>
      </c>
      <c r="C131" s="0" t="str">
        <f aca="false">IF('Leitura .bpp --&gt; .csv'!H175="","",'Leitura .bpp --&gt; .csv'!H175)</f>
        <v/>
      </c>
      <c r="D131" s="0" t="str">
        <f aca="false">IF('Leitura .bpp --&gt; .csv'!I175="","",'Leitura .bpp --&gt; .csv'!I175)</f>
        <v/>
      </c>
      <c r="E131" s="0" t="str">
        <f aca="false">IF('Leitura .bpp --&gt; .csv'!L175="","",'Leitura .bpp --&gt; .csv'!L175)</f>
        <v/>
      </c>
      <c r="F131" s="0" t="str">
        <f aca="false">IF('Leitura .bpp --&gt; .csv'!M175="","",'Leitura .bpp --&gt; .csv'!M175)</f>
        <v/>
      </c>
      <c r="G131" s="0" t="str">
        <f aca="false">IF('Leitura .bpp --&gt; .csv'!K175="","",'Leitura .bpp --&gt; .csv'!K175)</f>
        <v/>
      </c>
      <c r="H131" s="0" t="n">
        <f aca="false">IF(A131="",1,IF(A131=" 0 : 1","TP1",IF(A131=" 0 : 3","TP3","CAB")))</f>
        <v>1</v>
      </c>
      <c r="I131" s="0" t="str">
        <f aca="false">IF(A131="","",IF(C132=C131,1,""))</f>
        <v/>
      </c>
      <c r="J131" s="0" t="str">
        <f aca="false">IF(A131="","",IF(C131=C130,1,""))</f>
        <v/>
      </c>
      <c r="K131" s="0" t="str">
        <f aca="false">IF(I131=1,1,IF(J131=1,1,""))</f>
        <v/>
      </c>
      <c r="L131" s="0" t="str">
        <f aca="false">IFERROR(IF(AND(H130="",H131=""),"",IF(H131="TP1",1,IF(H131="TP3",15,IF(AND(A131="",L130=15),"",IF(H130="CAB",L130,L130+1))))),"")</f>
        <v/>
      </c>
      <c r="M131" s="0" t="str">
        <f aca="false">IF(A131="","",IF(H131="TP1","1"&amp;"_"&amp;C131,IF(H131="TP3","15"&amp;"_"&amp;C131,L131&amp;"_"&amp;D131)))</f>
        <v/>
      </c>
      <c r="N131" s="0" t="str">
        <f aca="false">E130&amp;IF(F131=1,"T","")</f>
        <v/>
      </c>
      <c r="O131" s="0" t="str">
        <f aca="false">IFERROR(((IF(L131=1,0,IF(L131=15,VARIÁVEIS!$B$34,((MID(C131,1,(SEARCH(".",C131,1)-1))&amp;","&amp;MID(C131,(SEARCH(".",C131,1)+1),1))&amp;"0")*1)))*1),"")</f>
        <v/>
      </c>
      <c r="P131" s="0" t="str">
        <f aca="false">(IFERROR(D131/32,""))</f>
        <v/>
      </c>
    </row>
    <row r="132" customFormat="false" ht="12.75" hidden="false" customHeight="false" outlineLevel="0" collapsed="false">
      <c r="A132" s="0" t="str">
        <f aca="false">IF('Leitura .bpp --&gt; .csv'!F176="","",'Leitura .bpp --&gt; .csv'!F176)</f>
        <v/>
      </c>
      <c r="B132" s="0" t="str">
        <f aca="false">IF('Leitura .bpp --&gt; .csv'!G176="","",'Leitura .bpp --&gt; .csv'!G176)</f>
        <v/>
      </c>
      <c r="C132" s="0" t="str">
        <f aca="false">IF('Leitura .bpp --&gt; .csv'!H176="","",'Leitura .bpp --&gt; .csv'!H176)</f>
        <v/>
      </c>
      <c r="D132" s="0" t="str">
        <f aca="false">IF('Leitura .bpp --&gt; .csv'!I176="","",'Leitura .bpp --&gt; .csv'!I176)</f>
        <v/>
      </c>
      <c r="E132" s="0" t="str">
        <f aca="false">IF('Leitura .bpp --&gt; .csv'!L176="","",'Leitura .bpp --&gt; .csv'!L176)</f>
        <v/>
      </c>
      <c r="F132" s="0" t="str">
        <f aca="false">IF('Leitura .bpp --&gt; .csv'!M176="","",'Leitura .bpp --&gt; .csv'!M176)</f>
        <v/>
      </c>
      <c r="G132" s="0" t="str">
        <f aca="false">IF('Leitura .bpp --&gt; .csv'!K176="","",'Leitura .bpp --&gt; .csv'!K176)</f>
        <v/>
      </c>
      <c r="H132" s="0" t="n">
        <f aca="false">IF(A132="",1,IF(A132=" 0 : 1","TP1",IF(A132=" 0 : 3","TP3","CAB")))</f>
        <v>1</v>
      </c>
      <c r="I132" s="0" t="str">
        <f aca="false">IF(A132="","",IF(C133=C132,1,""))</f>
        <v/>
      </c>
      <c r="J132" s="0" t="str">
        <f aca="false">IF(A132="","",IF(C132=C131,1,""))</f>
        <v/>
      </c>
      <c r="K132" s="0" t="str">
        <f aca="false">IF(I132=1,1,IF(J132=1,1,""))</f>
        <v/>
      </c>
      <c r="L132" s="0" t="str">
        <f aca="false">IFERROR(IF(AND(H131="",H132=""),"",IF(H132="TP1",1,IF(H132="TP3",15,IF(AND(A132="",L131=15),"",IF(H131="CAB",L131,L131+1))))),"")</f>
        <v/>
      </c>
      <c r="M132" s="0" t="str">
        <f aca="false">IF(A132="","",IF(H132="TP1","1"&amp;"_"&amp;C132,IF(H132="TP3","15"&amp;"_"&amp;C132,L132&amp;"_"&amp;D132)))</f>
        <v/>
      </c>
      <c r="N132" s="0" t="str">
        <f aca="false">E131&amp;IF(F132=1,"T","")</f>
        <v/>
      </c>
      <c r="O132" s="0" t="str">
        <f aca="false">IFERROR(((IF(L132=1,0,IF(L132=15,VARIÁVEIS!$B$34,((MID(C132,1,(SEARCH(".",C132,1)-1))&amp;","&amp;MID(C132,(SEARCH(".",C132,1)+1),1))&amp;"0")*1)))*1),"")</f>
        <v/>
      </c>
      <c r="P132" s="0" t="str">
        <f aca="false">(IFERROR(D132/32,""))</f>
        <v/>
      </c>
    </row>
    <row r="133" customFormat="false" ht="12.75" hidden="false" customHeight="false" outlineLevel="0" collapsed="false">
      <c r="A133" s="0" t="str">
        <f aca="false">IF('Leitura .bpp --&gt; .csv'!F177="","",'Leitura .bpp --&gt; .csv'!F177)</f>
        <v/>
      </c>
      <c r="B133" s="0" t="str">
        <f aca="false">IF('Leitura .bpp --&gt; .csv'!G177="","",'Leitura .bpp --&gt; .csv'!G177)</f>
        <v/>
      </c>
      <c r="C133" s="0" t="str">
        <f aca="false">IF('Leitura .bpp --&gt; .csv'!H177="","",'Leitura .bpp --&gt; .csv'!H177)</f>
        <v/>
      </c>
      <c r="D133" s="0" t="str">
        <f aca="false">IF('Leitura .bpp --&gt; .csv'!I177="","",'Leitura .bpp --&gt; .csv'!I177)</f>
        <v/>
      </c>
      <c r="E133" s="0" t="str">
        <f aca="false">IF('Leitura .bpp --&gt; .csv'!L177="","",'Leitura .bpp --&gt; .csv'!L177)</f>
        <v/>
      </c>
      <c r="F133" s="0" t="str">
        <f aca="false">IF('Leitura .bpp --&gt; .csv'!M177="","",'Leitura .bpp --&gt; .csv'!M177)</f>
        <v/>
      </c>
      <c r="G133" s="0" t="str">
        <f aca="false">IF('Leitura .bpp --&gt; .csv'!K177="","",'Leitura .bpp --&gt; .csv'!K177)</f>
        <v/>
      </c>
      <c r="H133" s="0" t="n">
        <f aca="false">IF(A133="",1,IF(A133=" 0 : 1","TP1",IF(A133=" 0 : 3","TP3","CAB")))</f>
        <v>1</v>
      </c>
      <c r="I133" s="0" t="str">
        <f aca="false">IF(A133="","",IF(C134=C133,1,""))</f>
        <v/>
      </c>
      <c r="J133" s="0" t="str">
        <f aca="false">IF(A133="","",IF(C133=C132,1,""))</f>
        <v/>
      </c>
      <c r="K133" s="0" t="str">
        <f aca="false">IF(I133=1,1,IF(J133=1,1,""))</f>
        <v/>
      </c>
      <c r="L133" s="0" t="str">
        <f aca="false">IFERROR(IF(AND(H132="",H133=""),"",IF(H133="TP1",1,IF(H133="TP3",15,IF(AND(A133="",L132=15),"",IF(H132="CAB",L132,L132+1))))),"")</f>
        <v/>
      </c>
      <c r="M133" s="0" t="str">
        <f aca="false">IF(A133="","",IF(H133="TP1","1"&amp;"_"&amp;C133,IF(H133="TP3","15"&amp;"_"&amp;C133,L133&amp;"_"&amp;D133)))</f>
        <v/>
      </c>
      <c r="N133" s="0" t="str">
        <f aca="false">E132&amp;IF(F133=1,"T","")</f>
        <v/>
      </c>
      <c r="O133" s="0" t="str">
        <f aca="false">IFERROR(((IF(L133=1,0,IF(L133=15,VARIÁVEIS!$B$34,((MID(C133,1,(SEARCH(".",C133,1)-1))&amp;","&amp;MID(C133,(SEARCH(".",C133,1)+1),1))&amp;"0")*1)))*1),"")</f>
        <v/>
      </c>
      <c r="P133" s="0" t="str">
        <f aca="false">(IFERROR(D133/32,""))</f>
        <v/>
      </c>
    </row>
    <row r="134" customFormat="false" ht="12.75" hidden="false" customHeight="false" outlineLevel="0" collapsed="false">
      <c r="A134" s="0" t="str">
        <f aca="false">IF('Leitura .bpp --&gt; .csv'!F178="","",'Leitura .bpp --&gt; .csv'!F178)</f>
        <v/>
      </c>
      <c r="B134" s="0" t="str">
        <f aca="false">IF('Leitura .bpp --&gt; .csv'!G178="","",'Leitura .bpp --&gt; .csv'!G178)</f>
        <v/>
      </c>
      <c r="C134" s="0" t="str">
        <f aca="false">IF('Leitura .bpp --&gt; .csv'!H178="","",'Leitura .bpp --&gt; .csv'!H178)</f>
        <v/>
      </c>
      <c r="D134" s="0" t="str">
        <f aca="false">IF('Leitura .bpp --&gt; .csv'!I178="","",'Leitura .bpp --&gt; .csv'!I178)</f>
        <v/>
      </c>
      <c r="E134" s="0" t="str">
        <f aca="false">IF('Leitura .bpp --&gt; .csv'!L178="","",'Leitura .bpp --&gt; .csv'!L178)</f>
        <v/>
      </c>
      <c r="F134" s="0" t="str">
        <f aca="false">IF('Leitura .bpp --&gt; .csv'!M178="","",'Leitura .bpp --&gt; .csv'!M178)</f>
        <v/>
      </c>
      <c r="G134" s="0" t="str">
        <f aca="false">IF('Leitura .bpp --&gt; .csv'!K178="","",'Leitura .bpp --&gt; .csv'!K178)</f>
        <v/>
      </c>
      <c r="H134" s="0" t="n">
        <f aca="false">IF(A134="",1,IF(A134=" 0 : 1","TP1",IF(A134=" 0 : 3","TP3","CAB")))</f>
        <v>1</v>
      </c>
      <c r="I134" s="0" t="str">
        <f aca="false">IF(A134="","",IF(C135=C134,1,""))</f>
        <v/>
      </c>
      <c r="J134" s="0" t="str">
        <f aca="false">IF(A134="","",IF(C134=C133,1,""))</f>
        <v/>
      </c>
      <c r="K134" s="0" t="str">
        <f aca="false">IF(I134=1,1,IF(J134=1,1,""))</f>
        <v/>
      </c>
      <c r="L134" s="0" t="str">
        <f aca="false">IFERROR(IF(AND(H133="",H134=""),"",IF(H134="TP1",1,IF(H134="TP3",15,IF(AND(A134="",L133=15),"",IF(H133="CAB",L133,L133+1))))),"")</f>
        <v/>
      </c>
      <c r="M134" s="0" t="str">
        <f aca="false">IF(A134="","",IF(H134="TP1","1"&amp;"_"&amp;C134,IF(H134="TP3","15"&amp;"_"&amp;C134,L134&amp;"_"&amp;D134)))</f>
        <v/>
      </c>
      <c r="N134" s="0" t="str">
        <f aca="false">E133&amp;IF(F134=1,"T","")</f>
        <v/>
      </c>
      <c r="O134" s="0" t="str">
        <f aca="false">IFERROR(((IF(L134=1,0,IF(L134=15,VARIÁVEIS!$B$34,((MID(C134,1,(SEARCH(".",C134,1)-1))&amp;","&amp;MID(C134,(SEARCH(".",C134,1)+1),1))&amp;"0")*1)))*1),"")</f>
        <v/>
      </c>
      <c r="P134" s="0" t="str">
        <f aca="false">(IFERROR(D134/32,""))</f>
        <v/>
      </c>
    </row>
    <row r="135" customFormat="false" ht="12.75" hidden="false" customHeight="false" outlineLevel="0" collapsed="false">
      <c r="A135" s="0" t="str">
        <f aca="false">IF('Leitura .bpp --&gt; .csv'!F179="","",'Leitura .bpp --&gt; .csv'!F179)</f>
        <v/>
      </c>
      <c r="B135" s="0" t="str">
        <f aca="false">IF('Leitura .bpp --&gt; .csv'!G179="","",'Leitura .bpp --&gt; .csv'!G179)</f>
        <v/>
      </c>
      <c r="C135" s="0" t="str">
        <f aca="false">IF('Leitura .bpp --&gt; .csv'!H179="","",'Leitura .bpp --&gt; .csv'!H179)</f>
        <v/>
      </c>
      <c r="D135" s="0" t="str">
        <f aca="false">IF('Leitura .bpp --&gt; .csv'!I179="","",'Leitura .bpp --&gt; .csv'!I179)</f>
        <v/>
      </c>
      <c r="E135" s="0" t="str">
        <f aca="false">IF('Leitura .bpp --&gt; .csv'!L179="","",'Leitura .bpp --&gt; .csv'!L179)</f>
        <v/>
      </c>
      <c r="F135" s="0" t="str">
        <f aca="false">IF('Leitura .bpp --&gt; .csv'!M179="","",'Leitura .bpp --&gt; .csv'!M179)</f>
        <v/>
      </c>
      <c r="G135" s="0" t="str">
        <f aca="false">IF('Leitura .bpp --&gt; .csv'!K179="","",'Leitura .bpp --&gt; .csv'!K179)</f>
        <v/>
      </c>
      <c r="H135" s="0" t="n">
        <f aca="false">IF(A135="",1,IF(A135=" 0 : 1","TP1",IF(A135=" 0 : 3","TP3","CAB")))</f>
        <v>1</v>
      </c>
      <c r="I135" s="0" t="str">
        <f aca="false">IF(A135="","",IF(C136=C135,1,""))</f>
        <v/>
      </c>
      <c r="J135" s="0" t="str">
        <f aca="false">IF(A135="","",IF(C135=C134,1,""))</f>
        <v/>
      </c>
      <c r="K135" s="0" t="str">
        <f aca="false">IF(I135=1,1,IF(J135=1,1,""))</f>
        <v/>
      </c>
      <c r="L135" s="0" t="str">
        <f aca="false">IFERROR(IF(AND(H134="",H135=""),"",IF(H135="TP1",1,IF(H135="TP3",15,IF(AND(A135="",L134=15),"",IF(H134="CAB",L134,L134+1))))),"")</f>
        <v/>
      </c>
      <c r="M135" s="0" t="str">
        <f aca="false">IF(A135="","",IF(H135="TP1","1"&amp;"_"&amp;C135,IF(H135="TP3","15"&amp;"_"&amp;C135,L135&amp;"_"&amp;D135)))</f>
        <v/>
      </c>
      <c r="N135" s="0" t="str">
        <f aca="false">E134&amp;IF(F135=1,"T","")</f>
        <v/>
      </c>
      <c r="O135" s="0" t="str">
        <f aca="false">IFERROR(((IF(L135=1,0,IF(L135=15,VARIÁVEIS!$B$34,((MID(C135,1,(SEARCH(".",C135,1)-1))&amp;","&amp;MID(C135,(SEARCH(".",C135,1)+1),1))&amp;"0")*1)))*1),"")</f>
        <v/>
      </c>
      <c r="P135" s="0" t="str">
        <f aca="false">(IFERROR(D135/32,""))</f>
        <v/>
      </c>
    </row>
    <row r="136" customFormat="false" ht="12.75" hidden="false" customHeight="false" outlineLevel="0" collapsed="false">
      <c r="A136" s="0" t="str">
        <f aca="false">IF('Leitura .bpp --&gt; .csv'!F180="","",'Leitura .bpp --&gt; .csv'!F180)</f>
        <v/>
      </c>
      <c r="B136" s="0" t="str">
        <f aca="false">IF('Leitura .bpp --&gt; .csv'!G180="","",'Leitura .bpp --&gt; .csv'!G180)</f>
        <v/>
      </c>
      <c r="C136" s="0" t="str">
        <f aca="false">IF('Leitura .bpp --&gt; .csv'!H180="","",'Leitura .bpp --&gt; .csv'!H180)</f>
        <v/>
      </c>
      <c r="D136" s="0" t="str">
        <f aca="false">IF('Leitura .bpp --&gt; .csv'!I180="","",'Leitura .bpp --&gt; .csv'!I180)</f>
        <v/>
      </c>
      <c r="E136" s="0" t="str">
        <f aca="false">IF('Leitura .bpp --&gt; .csv'!L180="","",'Leitura .bpp --&gt; .csv'!L180)</f>
        <v/>
      </c>
      <c r="F136" s="0" t="str">
        <f aca="false">IF('Leitura .bpp --&gt; .csv'!M180="","",'Leitura .bpp --&gt; .csv'!M180)</f>
        <v/>
      </c>
      <c r="G136" s="0" t="str">
        <f aca="false">IF('Leitura .bpp --&gt; .csv'!K180="","",'Leitura .bpp --&gt; .csv'!K180)</f>
        <v/>
      </c>
      <c r="H136" s="0" t="n">
        <f aca="false">IF(A136="",1,IF(A136=" 0 : 1","TP1",IF(A136=" 0 : 3","TP3","CAB")))</f>
        <v>1</v>
      </c>
      <c r="I136" s="0" t="str">
        <f aca="false">IF(A136="","",IF(C137=C136,1,""))</f>
        <v/>
      </c>
      <c r="J136" s="0" t="str">
        <f aca="false">IF(A136="","",IF(C136=C135,1,""))</f>
        <v/>
      </c>
      <c r="K136" s="0" t="str">
        <f aca="false">IF(I136=1,1,IF(J136=1,1,""))</f>
        <v/>
      </c>
      <c r="L136" s="0" t="str">
        <f aca="false">IFERROR(IF(AND(H135="",H136=""),"",IF(H136="TP1",1,IF(H136="TP3",15,IF(AND(A136="",L135=15),"",IF(H135="CAB",L135,L135+1))))),"")</f>
        <v/>
      </c>
      <c r="M136" s="0" t="str">
        <f aca="false">IF(A136="","",IF(H136="TP1","1"&amp;"_"&amp;C136,IF(H136="TP3","15"&amp;"_"&amp;C136,L136&amp;"_"&amp;D136)))</f>
        <v/>
      </c>
      <c r="N136" s="0" t="str">
        <f aca="false">E135&amp;IF(F136=1,"T","")</f>
        <v/>
      </c>
      <c r="O136" s="0" t="str">
        <f aca="false">IFERROR(((IF(L136=1,0,IF(L136=15,VARIÁVEIS!$B$34,((MID(C136,1,(SEARCH(".",C136,1)-1))&amp;","&amp;MID(C136,(SEARCH(".",C136,1)+1),1))&amp;"0")*1)))*1),"")</f>
        <v/>
      </c>
      <c r="P136" s="0" t="str">
        <f aca="false">(IFERROR(D136/32,""))</f>
        <v/>
      </c>
    </row>
    <row r="137" customFormat="false" ht="12.75" hidden="false" customHeight="false" outlineLevel="0" collapsed="false">
      <c r="A137" s="0" t="str">
        <f aca="false">IF('Leitura .bpp --&gt; .csv'!F181="","",'Leitura .bpp --&gt; .csv'!F181)</f>
        <v/>
      </c>
      <c r="B137" s="0" t="str">
        <f aca="false">IF('Leitura .bpp --&gt; .csv'!G181="","",'Leitura .bpp --&gt; .csv'!G181)</f>
        <v/>
      </c>
      <c r="C137" s="0" t="str">
        <f aca="false">IF('Leitura .bpp --&gt; .csv'!H181="","",'Leitura .bpp --&gt; .csv'!H181)</f>
        <v/>
      </c>
      <c r="D137" s="0" t="str">
        <f aca="false">IF('Leitura .bpp --&gt; .csv'!I181="","",'Leitura .bpp --&gt; .csv'!I181)</f>
        <v/>
      </c>
      <c r="E137" s="0" t="str">
        <f aca="false">IF('Leitura .bpp --&gt; .csv'!L181="","",'Leitura .bpp --&gt; .csv'!L181)</f>
        <v/>
      </c>
      <c r="F137" s="0" t="str">
        <f aca="false">IF('Leitura .bpp --&gt; .csv'!M181="","",'Leitura .bpp --&gt; .csv'!M181)</f>
        <v/>
      </c>
      <c r="G137" s="0" t="str">
        <f aca="false">IF('Leitura .bpp --&gt; .csv'!K181="","",'Leitura .bpp --&gt; .csv'!K181)</f>
        <v/>
      </c>
      <c r="H137" s="0" t="n">
        <f aca="false">IF(A137="",1,IF(A137=" 0 : 1","TP1",IF(A137=" 0 : 3","TP3","CAB")))</f>
        <v>1</v>
      </c>
      <c r="I137" s="0" t="str">
        <f aca="false">IF(A137="","",IF(C138=C137,1,""))</f>
        <v/>
      </c>
      <c r="J137" s="0" t="str">
        <f aca="false">IF(A137="","",IF(C137=C136,1,""))</f>
        <v/>
      </c>
      <c r="K137" s="0" t="str">
        <f aca="false">IF(I137=1,1,IF(J137=1,1,""))</f>
        <v/>
      </c>
      <c r="L137" s="0" t="str">
        <f aca="false">IFERROR(IF(AND(H136="",H137=""),"",IF(H137="TP1",1,IF(H137="TP3",15,IF(AND(A137="",L136=15),"",IF(H136="CAB",L136,L136+1))))),"")</f>
        <v/>
      </c>
      <c r="M137" s="0" t="str">
        <f aca="false">IF(A137="","",IF(H137="TP1","1"&amp;"_"&amp;C137,IF(H137="TP3","15"&amp;"_"&amp;C137,L137&amp;"_"&amp;D137)))</f>
        <v/>
      </c>
      <c r="N137" s="0" t="str">
        <f aca="false">E136&amp;IF(F137=1,"T","")</f>
        <v/>
      </c>
      <c r="O137" s="0" t="str">
        <f aca="false">IFERROR(((IF(L137=1,0,IF(L137=15,VARIÁVEIS!$B$34,((MID(C137,1,(SEARCH(".",C137,1)-1))&amp;","&amp;MID(C137,(SEARCH(".",C137,1)+1),1))&amp;"0")*1)))*1),"")</f>
        <v/>
      </c>
      <c r="P137" s="0" t="str">
        <f aca="false">(IFERROR(D137/32,""))</f>
        <v/>
      </c>
    </row>
    <row r="138" customFormat="false" ht="12.75" hidden="false" customHeight="false" outlineLevel="0" collapsed="false">
      <c r="A138" s="0" t="str">
        <f aca="false">IF('Leitura .bpp --&gt; .csv'!F182="","",'Leitura .bpp --&gt; .csv'!F182)</f>
        <v/>
      </c>
      <c r="B138" s="0" t="str">
        <f aca="false">IF('Leitura .bpp --&gt; .csv'!G182="","",'Leitura .bpp --&gt; .csv'!G182)</f>
        <v/>
      </c>
      <c r="C138" s="0" t="str">
        <f aca="false">IF('Leitura .bpp --&gt; .csv'!H182="","",'Leitura .bpp --&gt; .csv'!H182)</f>
        <v/>
      </c>
      <c r="D138" s="0" t="str">
        <f aca="false">IF('Leitura .bpp --&gt; .csv'!I182="","",'Leitura .bpp --&gt; .csv'!I182)</f>
        <v/>
      </c>
      <c r="E138" s="0" t="str">
        <f aca="false">IF('Leitura .bpp --&gt; .csv'!L182="","",'Leitura .bpp --&gt; .csv'!L182)</f>
        <v/>
      </c>
      <c r="F138" s="0" t="str">
        <f aca="false">IF('Leitura .bpp --&gt; .csv'!M182="","",'Leitura .bpp --&gt; .csv'!M182)</f>
        <v/>
      </c>
      <c r="G138" s="0" t="str">
        <f aca="false">IF('Leitura .bpp --&gt; .csv'!K182="","",'Leitura .bpp --&gt; .csv'!K182)</f>
        <v/>
      </c>
      <c r="H138" s="0" t="n">
        <f aca="false">IF(A138="",1,IF(A138=" 0 : 1","TP1",IF(A138=" 0 : 3","TP3","CAB")))</f>
        <v>1</v>
      </c>
      <c r="I138" s="0" t="str">
        <f aca="false">IF(A138="","",IF(C139=C138,1,""))</f>
        <v/>
      </c>
      <c r="J138" s="0" t="str">
        <f aca="false">IF(A138="","",IF(C138=C137,1,""))</f>
        <v/>
      </c>
      <c r="K138" s="0" t="str">
        <f aca="false">IF(I138=1,1,IF(J138=1,1,""))</f>
        <v/>
      </c>
      <c r="L138" s="0" t="str">
        <f aca="false">IFERROR(IF(AND(H137="",H138=""),"",IF(H138="TP1",1,IF(H138="TP3",15,IF(AND(A138="",L137=15),"",IF(H137="CAB",L137,L137+1))))),"")</f>
        <v/>
      </c>
      <c r="M138" s="0" t="str">
        <f aca="false">IF(A138="","",IF(H138="TP1","1"&amp;"_"&amp;C138,IF(H138="TP3","15"&amp;"_"&amp;C138,L138&amp;"_"&amp;D138)))</f>
        <v/>
      </c>
      <c r="N138" s="0" t="str">
        <f aca="false">E137&amp;IF(F138=1,"T","")</f>
        <v/>
      </c>
      <c r="O138" s="0" t="str">
        <f aca="false">IFERROR(((IF(L138=1,0,IF(L138=15,VARIÁVEIS!$B$34,((MID(C138,1,(SEARCH(".",C138,1)-1))&amp;","&amp;MID(C138,(SEARCH(".",C138,1)+1),1))&amp;"0")*1)))*1),"")</f>
        <v/>
      </c>
      <c r="P138" s="0" t="str">
        <f aca="false">(IFERROR(D138/32,""))</f>
        <v/>
      </c>
    </row>
    <row r="139" customFormat="false" ht="12.75" hidden="false" customHeight="false" outlineLevel="0" collapsed="false">
      <c r="A139" s="0" t="str">
        <f aca="false">IF('Leitura .bpp --&gt; .csv'!F183="","",'Leitura .bpp --&gt; .csv'!F183)</f>
        <v/>
      </c>
      <c r="B139" s="0" t="str">
        <f aca="false">IF('Leitura .bpp --&gt; .csv'!G183="","",'Leitura .bpp --&gt; .csv'!G183)</f>
        <v/>
      </c>
      <c r="C139" s="0" t="str">
        <f aca="false">IF('Leitura .bpp --&gt; .csv'!H183="","",'Leitura .bpp --&gt; .csv'!H183)</f>
        <v/>
      </c>
      <c r="D139" s="0" t="str">
        <f aca="false">IF('Leitura .bpp --&gt; .csv'!I183="","",'Leitura .bpp --&gt; .csv'!I183)</f>
        <v/>
      </c>
      <c r="E139" s="0" t="str">
        <f aca="false">IF('Leitura .bpp --&gt; .csv'!L183="","",'Leitura .bpp --&gt; .csv'!L183)</f>
        <v/>
      </c>
      <c r="F139" s="0" t="str">
        <f aca="false">IF('Leitura .bpp --&gt; .csv'!M183="","",'Leitura .bpp --&gt; .csv'!M183)</f>
        <v/>
      </c>
      <c r="G139" s="0" t="str">
        <f aca="false">IF('Leitura .bpp --&gt; .csv'!K183="","",'Leitura .bpp --&gt; .csv'!K183)</f>
        <v/>
      </c>
      <c r="H139" s="0" t="n">
        <f aca="false">IF(A139="",1,IF(A139=" 0 : 1","TP1",IF(A139=" 0 : 3","TP3","CAB")))</f>
        <v>1</v>
      </c>
      <c r="I139" s="0" t="str">
        <f aca="false">IF(A139="","",IF(C140=C139,1,""))</f>
        <v/>
      </c>
      <c r="J139" s="0" t="str">
        <f aca="false">IF(A139="","",IF(C139=C138,1,""))</f>
        <v/>
      </c>
      <c r="K139" s="0" t="str">
        <f aca="false">IF(I139=1,1,IF(J139=1,1,""))</f>
        <v/>
      </c>
      <c r="L139" s="0" t="str">
        <f aca="false">IFERROR(IF(AND(H138="",H139=""),"",IF(H139="TP1",1,IF(H139="TP3",15,IF(AND(A139="",L138=15),"",IF(H138="CAB",L138,L138+1))))),"")</f>
        <v/>
      </c>
      <c r="M139" s="0" t="str">
        <f aca="false">IF(A139="","",IF(H139="TP1","1"&amp;"_"&amp;C139,IF(H139="TP3","15"&amp;"_"&amp;C139,L139&amp;"_"&amp;D139)))</f>
        <v/>
      </c>
      <c r="N139" s="0" t="str">
        <f aca="false">E138&amp;IF(F139=1,"T","")</f>
        <v/>
      </c>
      <c r="O139" s="0" t="str">
        <f aca="false">IFERROR(((IF(L139=1,0,IF(L139=15,VARIÁVEIS!$B$34,((MID(C139,1,(SEARCH(".",C139,1)-1))&amp;","&amp;MID(C139,(SEARCH(".",C139,1)+1),1))&amp;"0")*1)))*1),"")</f>
        <v/>
      </c>
      <c r="P139" s="0" t="str">
        <f aca="false">(IFERROR(D139/32,""))</f>
        <v/>
      </c>
    </row>
    <row r="140" customFormat="false" ht="12.75" hidden="false" customHeight="false" outlineLevel="0" collapsed="false">
      <c r="A140" s="0" t="str">
        <f aca="false">IF('Leitura .bpp --&gt; .csv'!F184="","",'Leitura .bpp --&gt; .csv'!F184)</f>
        <v/>
      </c>
      <c r="B140" s="0" t="str">
        <f aca="false">IF('Leitura .bpp --&gt; .csv'!G184="","",'Leitura .bpp --&gt; .csv'!G184)</f>
        <v/>
      </c>
      <c r="C140" s="0" t="str">
        <f aca="false">IF('Leitura .bpp --&gt; .csv'!H184="","",'Leitura .bpp --&gt; .csv'!H184)</f>
        <v/>
      </c>
      <c r="D140" s="0" t="str">
        <f aca="false">IF('Leitura .bpp --&gt; .csv'!I184="","",'Leitura .bpp --&gt; .csv'!I184)</f>
        <v/>
      </c>
      <c r="E140" s="0" t="str">
        <f aca="false">IF('Leitura .bpp --&gt; .csv'!L184="","",'Leitura .bpp --&gt; .csv'!L184)</f>
        <v/>
      </c>
      <c r="F140" s="0" t="str">
        <f aca="false">IF('Leitura .bpp --&gt; .csv'!M184="","",'Leitura .bpp --&gt; .csv'!M184)</f>
        <v/>
      </c>
      <c r="G140" s="0" t="str">
        <f aca="false">IF('Leitura .bpp --&gt; .csv'!K184="","",'Leitura .bpp --&gt; .csv'!K184)</f>
        <v/>
      </c>
      <c r="H140" s="0" t="n">
        <f aca="false">IF(A140="",1,IF(A140=" 0 : 1","TP1",IF(A140=" 0 : 3","TP3","CAB")))</f>
        <v>1</v>
      </c>
      <c r="I140" s="0" t="str">
        <f aca="false">IF(A140="","",IF(C141=C140,1,""))</f>
        <v/>
      </c>
      <c r="J140" s="0" t="str">
        <f aca="false">IF(A140="","",IF(C140=C139,1,""))</f>
        <v/>
      </c>
      <c r="K140" s="0" t="str">
        <f aca="false">IF(I140=1,1,IF(J140=1,1,""))</f>
        <v/>
      </c>
      <c r="L140" s="0" t="str">
        <f aca="false">IFERROR(IF(AND(H139="",H140=""),"",IF(H140="TP1",1,IF(H140="TP3",15,IF(AND(A140="",L139=15),"",IF(H139="CAB",L139,L139+1))))),"")</f>
        <v/>
      </c>
      <c r="M140" s="0" t="str">
        <f aca="false">IF(A140="","",IF(H140="TP1","1"&amp;"_"&amp;C140,IF(H140="TP3","15"&amp;"_"&amp;C140,L140&amp;"_"&amp;D140)))</f>
        <v/>
      </c>
      <c r="N140" s="0" t="str">
        <f aca="false">E139&amp;IF(F140=1,"T","")</f>
        <v/>
      </c>
      <c r="O140" s="0" t="str">
        <f aca="false">IFERROR(((IF(L140=1,0,IF(L140=15,VARIÁVEIS!$B$34,((MID(C140,1,(SEARCH(".",C140,1)-1))&amp;","&amp;MID(C140,(SEARCH(".",C140,1)+1),1))&amp;"0")*1)))*1),"")</f>
        <v/>
      </c>
      <c r="P140" s="0" t="str">
        <f aca="false">(IFERROR(D140/32,""))</f>
        <v/>
      </c>
    </row>
    <row r="141" customFormat="false" ht="12.75" hidden="false" customHeight="false" outlineLevel="0" collapsed="false">
      <c r="A141" s="0" t="str">
        <f aca="false">IF('Leitura .bpp --&gt; .csv'!F185="","",'Leitura .bpp --&gt; .csv'!F185)</f>
        <v/>
      </c>
      <c r="B141" s="0" t="str">
        <f aca="false">IF('Leitura .bpp --&gt; .csv'!G185="","",'Leitura .bpp --&gt; .csv'!G185)</f>
        <v/>
      </c>
      <c r="C141" s="0" t="str">
        <f aca="false">IF('Leitura .bpp --&gt; .csv'!H185="","",'Leitura .bpp --&gt; .csv'!H185)</f>
        <v/>
      </c>
      <c r="D141" s="0" t="str">
        <f aca="false">IF('Leitura .bpp --&gt; .csv'!I185="","",'Leitura .bpp --&gt; .csv'!I185)</f>
        <v/>
      </c>
      <c r="E141" s="0" t="str">
        <f aca="false">IF('Leitura .bpp --&gt; .csv'!L185="","",'Leitura .bpp --&gt; .csv'!L185)</f>
        <v/>
      </c>
      <c r="F141" s="0" t="str">
        <f aca="false">IF('Leitura .bpp --&gt; .csv'!M185="","",'Leitura .bpp --&gt; .csv'!M185)</f>
        <v/>
      </c>
      <c r="G141" s="0" t="str">
        <f aca="false">IF('Leitura .bpp --&gt; .csv'!K185="","",'Leitura .bpp --&gt; .csv'!K185)</f>
        <v/>
      </c>
      <c r="H141" s="0" t="n">
        <f aca="false">IF(A141="",1,IF(A141=" 0 : 1","TP1",IF(A141=" 0 : 3","TP3","CAB")))</f>
        <v>1</v>
      </c>
      <c r="I141" s="0" t="str">
        <f aca="false">IF(A141="","",IF(C142=C141,1,""))</f>
        <v/>
      </c>
      <c r="J141" s="0" t="str">
        <f aca="false">IF(A141="","",IF(C141=C140,1,""))</f>
        <v/>
      </c>
      <c r="K141" s="0" t="str">
        <f aca="false">IF(I141=1,1,IF(J141=1,1,""))</f>
        <v/>
      </c>
      <c r="L141" s="0" t="str">
        <f aca="false">IFERROR(IF(AND(H140="",H141=""),"",IF(H141="TP1",1,IF(H141="TP3",15,IF(AND(A141="",L140=15),"",IF(H140="CAB",L140,L140+1))))),"")</f>
        <v/>
      </c>
      <c r="M141" s="0" t="str">
        <f aca="false">IF(A141="","",IF(H141="TP1","1"&amp;"_"&amp;C141,IF(H141="TP3","15"&amp;"_"&amp;C141,L141&amp;"_"&amp;D141)))</f>
        <v/>
      </c>
      <c r="N141" s="0" t="str">
        <f aca="false">E140&amp;IF(F141=1,"T","")</f>
        <v/>
      </c>
      <c r="O141" s="0" t="str">
        <f aca="false">IFERROR(((IF(L141=1,0,IF(L141=15,VARIÁVEIS!$B$34,((MID(C141,1,(SEARCH(".",C141,1)-1))&amp;","&amp;MID(C141,(SEARCH(".",C141,1)+1),1))&amp;"0")*1)))*1),"")</f>
        <v/>
      </c>
      <c r="P141" s="0" t="str">
        <f aca="false">(IFERROR(D141/32,""))</f>
        <v/>
      </c>
    </row>
    <row r="142" customFormat="false" ht="12.75" hidden="false" customHeight="false" outlineLevel="0" collapsed="false">
      <c r="A142" s="0" t="str">
        <f aca="false">IF('Leitura .bpp --&gt; .csv'!F186="","",'Leitura .bpp --&gt; .csv'!F186)</f>
        <v/>
      </c>
      <c r="B142" s="0" t="str">
        <f aca="false">IF('Leitura .bpp --&gt; .csv'!G186="","",'Leitura .bpp --&gt; .csv'!G186)</f>
        <v/>
      </c>
      <c r="C142" s="0" t="str">
        <f aca="false">IF('Leitura .bpp --&gt; .csv'!H186="","",'Leitura .bpp --&gt; .csv'!H186)</f>
        <v/>
      </c>
      <c r="D142" s="0" t="str">
        <f aca="false">IF('Leitura .bpp --&gt; .csv'!I186="","",'Leitura .bpp --&gt; .csv'!I186)</f>
        <v/>
      </c>
      <c r="E142" s="0" t="str">
        <f aca="false">IF('Leitura .bpp --&gt; .csv'!L186="","",'Leitura .bpp --&gt; .csv'!L186)</f>
        <v/>
      </c>
      <c r="F142" s="0" t="str">
        <f aca="false">IF('Leitura .bpp --&gt; .csv'!M186="","",'Leitura .bpp --&gt; .csv'!M186)</f>
        <v/>
      </c>
      <c r="G142" s="0" t="str">
        <f aca="false">IF('Leitura .bpp --&gt; .csv'!K186="","",'Leitura .bpp --&gt; .csv'!K186)</f>
        <v/>
      </c>
      <c r="H142" s="0" t="n">
        <f aca="false">IF(A142="",1,IF(A142=" 0 : 1","TP1",IF(A142=" 0 : 3","TP3","CAB")))</f>
        <v>1</v>
      </c>
      <c r="I142" s="0" t="str">
        <f aca="false">IF(A142="","",IF(C143=C142,1,""))</f>
        <v/>
      </c>
      <c r="J142" s="0" t="str">
        <f aca="false">IF(A142="","",IF(C142=C141,1,""))</f>
        <v/>
      </c>
      <c r="K142" s="0" t="str">
        <f aca="false">IF(I142=1,1,IF(J142=1,1,""))</f>
        <v/>
      </c>
      <c r="L142" s="0" t="str">
        <f aca="false">IFERROR(IF(AND(H141="",H142=""),"",IF(H142="TP1",1,IF(H142="TP3",15,IF(AND(A142="",L141=15),"",IF(H141="CAB",L141,L141+1))))),"")</f>
        <v/>
      </c>
      <c r="M142" s="0" t="str">
        <f aca="false">IF(A142="","",IF(H142="TP1","1"&amp;"_"&amp;C142,IF(H142="TP3","15"&amp;"_"&amp;C142,L142&amp;"_"&amp;D142)))</f>
        <v/>
      </c>
      <c r="N142" s="0" t="str">
        <f aca="false">E141&amp;IF(F142=1,"T","")</f>
        <v/>
      </c>
      <c r="O142" s="0" t="str">
        <f aca="false">IFERROR(((IF(L142=1,0,IF(L142=15,VARIÁVEIS!$B$34,((MID(C142,1,(SEARCH(".",C142,1)-1))&amp;","&amp;MID(C142,(SEARCH(".",C142,1)+1),1))&amp;"0")*1)))*1),"")</f>
        <v/>
      </c>
      <c r="P142" s="0" t="str">
        <f aca="false">(IFERROR(D142/32,""))</f>
        <v/>
      </c>
    </row>
    <row r="143" customFormat="false" ht="12.75" hidden="false" customHeight="false" outlineLevel="0" collapsed="false">
      <c r="A143" s="0" t="str">
        <f aca="false">IF('Leitura .bpp --&gt; .csv'!F187="","",'Leitura .bpp --&gt; .csv'!F187)</f>
        <v/>
      </c>
      <c r="B143" s="0" t="str">
        <f aca="false">IF('Leitura .bpp --&gt; .csv'!G187="","",'Leitura .bpp --&gt; .csv'!G187)</f>
        <v/>
      </c>
      <c r="C143" s="0" t="str">
        <f aca="false">IF('Leitura .bpp --&gt; .csv'!H187="","",'Leitura .bpp --&gt; .csv'!H187)</f>
        <v/>
      </c>
      <c r="D143" s="0" t="str">
        <f aca="false">IF('Leitura .bpp --&gt; .csv'!I187="","",'Leitura .bpp --&gt; .csv'!I187)</f>
        <v/>
      </c>
      <c r="E143" s="0" t="str">
        <f aca="false">IF('Leitura .bpp --&gt; .csv'!L187="","",'Leitura .bpp --&gt; .csv'!L187)</f>
        <v/>
      </c>
      <c r="F143" s="0" t="str">
        <f aca="false">IF('Leitura .bpp --&gt; .csv'!M187="","",'Leitura .bpp --&gt; .csv'!M187)</f>
        <v/>
      </c>
      <c r="G143" s="0" t="str">
        <f aca="false">IF('Leitura .bpp --&gt; .csv'!K187="","",'Leitura .bpp --&gt; .csv'!K187)</f>
        <v/>
      </c>
      <c r="H143" s="0" t="n">
        <f aca="false">IF(A143="",1,IF(A143=" 0 : 1","TP1",IF(A143=" 0 : 3","TP3","CAB")))</f>
        <v>1</v>
      </c>
      <c r="I143" s="0" t="str">
        <f aca="false">IF(A143="","",IF(C144=C143,1,""))</f>
        <v/>
      </c>
      <c r="J143" s="0" t="str">
        <f aca="false">IF(A143="","",IF(C143=C142,1,""))</f>
        <v/>
      </c>
      <c r="K143" s="0" t="str">
        <f aca="false">IF(I143=1,1,IF(J143=1,1,""))</f>
        <v/>
      </c>
      <c r="L143" s="0" t="str">
        <f aca="false">IFERROR(IF(AND(H142="",H143=""),"",IF(H143="TP1",1,IF(H143="TP3",15,IF(AND(A143="",L142=15),"",IF(H142="CAB",L142,L142+1))))),"")</f>
        <v/>
      </c>
      <c r="M143" s="0" t="str">
        <f aca="false">IF(A143="","",IF(H143="TP1","1"&amp;"_"&amp;C143,IF(H143="TP3","15"&amp;"_"&amp;C143,L143&amp;"_"&amp;D143)))</f>
        <v/>
      </c>
      <c r="N143" s="0" t="str">
        <f aca="false">E142&amp;IF(F143=1,"T","")</f>
        <v/>
      </c>
      <c r="O143" s="0" t="str">
        <f aca="false">IFERROR(((IF(L143=1,0,IF(L143=15,VARIÁVEIS!$B$34,((MID(C143,1,(SEARCH(".",C143,1)-1))&amp;","&amp;MID(C143,(SEARCH(".",C143,1)+1),1))&amp;"0")*1)))*1),"")</f>
        <v/>
      </c>
      <c r="P143" s="0" t="str">
        <f aca="false">(IFERROR(D143/32,""))</f>
        <v/>
      </c>
    </row>
    <row r="144" customFormat="false" ht="12.75" hidden="false" customHeight="false" outlineLevel="0" collapsed="false">
      <c r="A144" s="0" t="str">
        <f aca="false">IF('Leitura .bpp --&gt; .csv'!F188="","",'Leitura .bpp --&gt; .csv'!F188)</f>
        <v/>
      </c>
      <c r="B144" s="0" t="str">
        <f aca="false">IF('Leitura .bpp --&gt; .csv'!G188="","",'Leitura .bpp --&gt; .csv'!G188)</f>
        <v/>
      </c>
      <c r="C144" s="0" t="str">
        <f aca="false">IF('Leitura .bpp --&gt; .csv'!H188="","",'Leitura .bpp --&gt; .csv'!H188)</f>
        <v/>
      </c>
      <c r="D144" s="0" t="str">
        <f aca="false">IF('Leitura .bpp --&gt; .csv'!I188="","",'Leitura .bpp --&gt; .csv'!I188)</f>
        <v/>
      </c>
      <c r="E144" s="0" t="str">
        <f aca="false">IF('Leitura .bpp --&gt; .csv'!L188="","",'Leitura .bpp --&gt; .csv'!L188)</f>
        <v/>
      </c>
      <c r="F144" s="0" t="str">
        <f aca="false">IF('Leitura .bpp --&gt; .csv'!M188="","",'Leitura .bpp --&gt; .csv'!M188)</f>
        <v/>
      </c>
      <c r="G144" s="0" t="str">
        <f aca="false">IF('Leitura .bpp --&gt; .csv'!K188="","",'Leitura .bpp --&gt; .csv'!K188)</f>
        <v/>
      </c>
      <c r="H144" s="0" t="n">
        <f aca="false">IF(A144="",1,IF(A144=" 0 : 1","TP1",IF(A144=" 0 : 3","TP3","CAB")))</f>
        <v>1</v>
      </c>
      <c r="I144" s="0" t="str">
        <f aca="false">IF(A144="","",IF(C145=C144,1,""))</f>
        <v/>
      </c>
      <c r="J144" s="0" t="str">
        <f aca="false">IF(A144="","",IF(C144=C143,1,""))</f>
        <v/>
      </c>
      <c r="K144" s="0" t="str">
        <f aca="false">IF(I144=1,1,IF(J144=1,1,""))</f>
        <v/>
      </c>
      <c r="L144" s="0" t="str">
        <f aca="false">IFERROR(IF(AND(H143="",H144=""),"",IF(H144="TP1",1,IF(H144="TP3",15,IF(AND(A144="",L143=15),"",IF(H143="CAB",L143,L143+1))))),"")</f>
        <v/>
      </c>
      <c r="M144" s="0" t="str">
        <f aca="false">IF(A144="","",IF(H144="TP1","1"&amp;"_"&amp;C144,IF(H144="TP3","15"&amp;"_"&amp;C144,L144&amp;"_"&amp;D144)))</f>
        <v/>
      </c>
      <c r="N144" s="0" t="str">
        <f aca="false">E143&amp;IF(F144=1,"T","")</f>
        <v/>
      </c>
      <c r="O144" s="0" t="str">
        <f aca="false">IFERROR(((IF(L144=1,0,IF(L144=15,VARIÁVEIS!$B$34,((MID(C144,1,(SEARCH(".",C144,1)-1))&amp;","&amp;MID(C144,(SEARCH(".",C144,1)+1),1))&amp;"0")*1)))*1),"")</f>
        <v/>
      </c>
      <c r="P144" s="0" t="str">
        <f aca="false">(IFERROR(D144/32,""))</f>
        <v/>
      </c>
    </row>
    <row r="145" customFormat="false" ht="12.75" hidden="false" customHeight="false" outlineLevel="0" collapsed="false">
      <c r="A145" s="0" t="str">
        <f aca="false">IF('Leitura .bpp --&gt; .csv'!F189="","",'Leitura .bpp --&gt; .csv'!F189)</f>
        <v/>
      </c>
      <c r="B145" s="0" t="str">
        <f aca="false">IF('Leitura .bpp --&gt; .csv'!G189="","",'Leitura .bpp --&gt; .csv'!G189)</f>
        <v/>
      </c>
      <c r="C145" s="0" t="str">
        <f aca="false">IF('Leitura .bpp --&gt; .csv'!H189="","",'Leitura .bpp --&gt; .csv'!H189)</f>
        <v/>
      </c>
      <c r="D145" s="0" t="str">
        <f aca="false">IF('Leitura .bpp --&gt; .csv'!I189="","",'Leitura .bpp --&gt; .csv'!I189)</f>
        <v/>
      </c>
      <c r="E145" s="0" t="str">
        <f aca="false">IF('Leitura .bpp --&gt; .csv'!L189="","",'Leitura .bpp --&gt; .csv'!L189)</f>
        <v/>
      </c>
      <c r="F145" s="0" t="str">
        <f aca="false">IF('Leitura .bpp --&gt; .csv'!M189="","",'Leitura .bpp --&gt; .csv'!M189)</f>
        <v/>
      </c>
      <c r="G145" s="0" t="str">
        <f aca="false">IF('Leitura .bpp --&gt; .csv'!K189="","",'Leitura .bpp --&gt; .csv'!K189)</f>
        <v/>
      </c>
      <c r="H145" s="0" t="n">
        <f aca="false">IF(A145="",1,IF(A145=" 0 : 1","TP1",IF(A145=" 0 : 3","TP3","CAB")))</f>
        <v>1</v>
      </c>
      <c r="I145" s="0" t="str">
        <f aca="false">IF(A145="","",IF(C146=C145,1,""))</f>
        <v/>
      </c>
      <c r="J145" s="0" t="str">
        <f aca="false">IF(A145="","",IF(C145=C144,1,""))</f>
        <v/>
      </c>
      <c r="K145" s="0" t="str">
        <f aca="false">IF(I145=1,1,IF(J145=1,1,""))</f>
        <v/>
      </c>
      <c r="L145" s="0" t="str">
        <f aca="false">IFERROR(IF(AND(H144="",H145=""),"",IF(H145="TP1",1,IF(H145="TP3",15,IF(AND(A145="",L144=15),"",IF(H144="CAB",L144,L144+1))))),"")</f>
        <v/>
      </c>
      <c r="M145" s="0" t="str">
        <f aca="false">IF(A145="","",IF(H145="TP1","1"&amp;"_"&amp;C145,IF(H145="TP3","15"&amp;"_"&amp;C145,L145&amp;"_"&amp;D145)))</f>
        <v/>
      </c>
      <c r="N145" s="0" t="str">
        <f aca="false">E144&amp;IF(F145=1,"T","")</f>
        <v/>
      </c>
      <c r="O145" s="0" t="str">
        <f aca="false">IFERROR(((IF(L145=1,0,IF(L145=15,VARIÁVEIS!$B$34,((MID(C145,1,(SEARCH(".",C145,1)-1))&amp;","&amp;MID(C145,(SEARCH(".",C145,1)+1),1))&amp;"0")*1)))*1),"")</f>
        <v/>
      </c>
      <c r="P145" s="0" t="str">
        <f aca="false">(IFERROR(D145/32,""))</f>
        <v/>
      </c>
    </row>
    <row r="146" customFormat="false" ht="12.75" hidden="false" customHeight="false" outlineLevel="0" collapsed="false">
      <c r="A146" s="0" t="str">
        <f aca="false">IF('Leitura .bpp --&gt; .csv'!F190="","",'Leitura .bpp --&gt; .csv'!F190)</f>
        <v/>
      </c>
      <c r="B146" s="0" t="str">
        <f aca="false">IF('Leitura .bpp --&gt; .csv'!G190="","",'Leitura .bpp --&gt; .csv'!G190)</f>
        <v/>
      </c>
      <c r="C146" s="0" t="str">
        <f aca="false">IF('Leitura .bpp --&gt; .csv'!H190="","",'Leitura .bpp --&gt; .csv'!H190)</f>
        <v/>
      </c>
      <c r="D146" s="0" t="str">
        <f aca="false">IF('Leitura .bpp --&gt; .csv'!I190="","",'Leitura .bpp --&gt; .csv'!I190)</f>
        <v/>
      </c>
      <c r="E146" s="0" t="str">
        <f aca="false">IF('Leitura .bpp --&gt; .csv'!L190="","",'Leitura .bpp --&gt; .csv'!L190)</f>
        <v/>
      </c>
      <c r="F146" s="0" t="str">
        <f aca="false">IF('Leitura .bpp --&gt; .csv'!M190="","",'Leitura .bpp --&gt; .csv'!M190)</f>
        <v/>
      </c>
      <c r="G146" s="0" t="str">
        <f aca="false">IF('Leitura .bpp --&gt; .csv'!K190="","",'Leitura .bpp --&gt; .csv'!K190)</f>
        <v/>
      </c>
      <c r="H146" s="0" t="n">
        <f aca="false">IF(A146="",1,IF(A146=" 0 : 1","TP1",IF(A146=" 0 : 3","TP3","CAB")))</f>
        <v>1</v>
      </c>
      <c r="I146" s="0" t="str">
        <f aca="false">IF(A146="","",IF(C147=C146,1,""))</f>
        <v/>
      </c>
      <c r="J146" s="0" t="str">
        <f aca="false">IF(A146="","",IF(C146=C145,1,""))</f>
        <v/>
      </c>
      <c r="K146" s="0" t="str">
        <f aca="false">IF(I146=1,1,IF(J146=1,1,""))</f>
        <v/>
      </c>
      <c r="L146" s="0" t="str">
        <f aca="false">IFERROR(IF(AND(H145="",H146=""),"",IF(H146="TP1",1,IF(H146="TP3",15,IF(AND(A146="",L145=15),"",IF(H145="CAB",L145,L145+1))))),"")</f>
        <v/>
      </c>
      <c r="M146" s="0" t="str">
        <f aca="false">IF(A146="","",IF(H146="TP1","1"&amp;"_"&amp;C146,IF(H146="TP3","15"&amp;"_"&amp;C146,L146&amp;"_"&amp;D146)))</f>
        <v/>
      </c>
      <c r="N146" s="0" t="str">
        <f aca="false">E145&amp;IF(F146=1,"T","")</f>
        <v/>
      </c>
      <c r="O146" s="0" t="str">
        <f aca="false">IFERROR(((IF(L146=1,0,IF(L146=15,VARIÁVEIS!$B$34,((MID(C146,1,(SEARCH(".",C146,1)-1))&amp;","&amp;MID(C146,(SEARCH(".",C146,1)+1),1))&amp;"0")*1)))*1),"")</f>
        <v/>
      </c>
      <c r="P146" s="0" t="str">
        <f aca="false">(IFERROR(D146/32,""))</f>
        <v/>
      </c>
    </row>
    <row r="147" customFormat="false" ht="12.75" hidden="false" customHeight="false" outlineLevel="0" collapsed="false">
      <c r="A147" s="0" t="str">
        <f aca="false">IF('Leitura .bpp --&gt; .csv'!F191="","",'Leitura .bpp --&gt; .csv'!F191)</f>
        <v/>
      </c>
      <c r="B147" s="0" t="str">
        <f aca="false">IF('Leitura .bpp --&gt; .csv'!G191="","",'Leitura .bpp --&gt; .csv'!G191)</f>
        <v/>
      </c>
      <c r="C147" s="0" t="str">
        <f aca="false">IF('Leitura .bpp --&gt; .csv'!H191="","",'Leitura .bpp --&gt; .csv'!H191)</f>
        <v/>
      </c>
      <c r="D147" s="0" t="str">
        <f aca="false">IF('Leitura .bpp --&gt; .csv'!I191="","",'Leitura .bpp --&gt; .csv'!I191)</f>
        <v/>
      </c>
      <c r="E147" s="0" t="str">
        <f aca="false">IF('Leitura .bpp --&gt; .csv'!L191="","",'Leitura .bpp --&gt; .csv'!L191)</f>
        <v/>
      </c>
      <c r="F147" s="0" t="str">
        <f aca="false">IF('Leitura .bpp --&gt; .csv'!M191="","",'Leitura .bpp --&gt; .csv'!M191)</f>
        <v/>
      </c>
      <c r="G147" s="0" t="str">
        <f aca="false">IF('Leitura .bpp --&gt; .csv'!K191="","",'Leitura .bpp --&gt; .csv'!K191)</f>
        <v/>
      </c>
      <c r="H147" s="0" t="n">
        <f aca="false">IF(A147="",1,IF(A147=" 0 : 1","TP1",IF(A147=" 0 : 3","TP3","CAB")))</f>
        <v>1</v>
      </c>
      <c r="I147" s="0" t="str">
        <f aca="false">IF(A147="","",IF(C148=C147,1,""))</f>
        <v/>
      </c>
      <c r="J147" s="0" t="str">
        <f aca="false">IF(A147="","",IF(C147=C146,1,""))</f>
        <v/>
      </c>
      <c r="K147" s="0" t="str">
        <f aca="false">IF(I147=1,1,IF(J147=1,1,""))</f>
        <v/>
      </c>
      <c r="L147" s="0" t="str">
        <f aca="false">IFERROR(IF(AND(H146="",H147=""),"",IF(H147="TP1",1,IF(H147="TP3",15,IF(AND(A147="",L146=15),"",IF(H146="CAB",L146,L146+1))))),"")</f>
        <v/>
      </c>
      <c r="M147" s="0" t="str">
        <f aca="false">IF(A147="","",IF(H147="TP1","1"&amp;"_"&amp;C147,IF(H147="TP3","15"&amp;"_"&amp;C147,L147&amp;"_"&amp;D147)))</f>
        <v/>
      </c>
      <c r="N147" s="0" t="str">
        <f aca="false">E146&amp;IF(F147=1,"T","")</f>
        <v/>
      </c>
      <c r="O147" s="0" t="str">
        <f aca="false">IFERROR(((IF(L147=1,0,IF(L147=15,VARIÁVEIS!$B$34,((MID(C147,1,(SEARCH(".",C147,1)-1))&amp;","&amp;MID(C147,(SEARCH(".",C147,1)+1),1))&amp;"0")*1)))*1),"")</f>
        <v/>
      </c>
      <c r="P147" s="0" t="str">
        <f aca="false">(IFERROR(D147/32,""))</f>
        <v/>
      </c>
    </row>
    <row r="148" customFormat="false" ht="12.75" hidden="false" customHeight="false" outlineLevel="0" collapsed="false">
      <c r="A148" s="0" t="str">
        <f aca="false">IF('Leitura .bpp --&gt; .csv'!F192="","",'Leitura .bpp --&gt; .csv'!F192)</f>
        <v/>
      </c>
      <c r="B148" s="0" t="str">
        <f aca="false">IF('Leitura .bpp --&gt; .csv'!G192="","",'Leitura .bpp --&gt; .csv'!G192)</f>
        <v/>
      </c>
      <c r="C148" s="0" t="str">
        <f aca="false">IF('Leitura .bpp --&gt; .csv'!H192="","",'Leitura .bpp --&gt; .csv'!H192)</f>
        <v/>
      </c>
      <c r="D148" s="0" t="str">
        <f aca="false">IF('Leitura .bpp --&gt; .csv'!I192="","",'Leitura .bpp --&gt; .csv'!I192)</f>
        <v/>
      </c>
      <c r="E148" s="0" t="str">
        <f aca="false">IF('Leitura .bpp --&gt; .csv'!L192="","",'Leitura .bpp --&gt; .csv'!L192)</f>
        <v/>
      </c>
      <c r="F148" s="0" t="str">
        <f aca="false">IF('Leitura .bpp --&gt; .csv'!M192="","",'Leitura .bpp --&gt; .csv'!M192)</f>
        <v/>
      </c>
      <c r="G148" s="0" t="str">
        <f aca="false">IF('Leitura .bpp --&gt; .csv'!K192="","",'Leitura .bpp --&gt; .csv'!K192)</f>
        <v/>
      </c>
      <c r="H148" s="0" t="n">
        <f aca="false">IF(A148="",1,IF(A148=" 0 : 1","TP1",IF(A148=" 0 : 3","TP3","CAB")))</f>
        <v>1</v>
      </c>
      <c r="I148" s="0" t="str">
        <f aca="false">IF(A148="","",IF(C149=C148,1,""))</f>
        <v/>
      </c>
      <c r="J148" s="0" t="str">
        <f aca="false">IF(A148="","",IF(C148=C147,1,""))</f>
        <v/>
      </c>
      <c r="K148" s="0" t="str">
        <f aca="false">IF(I148=1,1,IF(J148=1,1,""))</f>
        <v/>
      </c>
      <c r="L148" s="0" t="str">
        <f aca="false">IFERROR(IF(AND(H147="",H148=""),"",IF(H148="TP1",1,IF(H148="TP3",15,IF(AND(A148="",L147=15),"",IF(H147="CAB",L147,L147+1))))),"")</f>
        <v/>
      </c>
      <c r="M148" s="0" t="str">
        <f aca="false">IF(A148="","",IF(H148="TP1","1"&amp;"_"&amp;C148,IF(H148="TP3","15"&amp;"_"&amp;C148,L148&amp;"_"&amp;D148)))</f>
        <v/>
      </c>
      <c r="N148" s="0" t="str">
        <f aca="false">E147&amp;IF(F148=1,"T","")</f>
        <v/>
      </c>
      <c r="O148" s="0" t="str">
        <f aca="false">IFERROR(((IF(L148=1,0,IF(L148=15,VARIÁVEIS!$B$34,((MID(C148,1,(SEARCH(".",C148,1)-1))&amp;","&amp;MID(C148,(SEARCH(".",C148,1)+1),1))&amp;"0")*1)))*1),"")</f>
        <v/>
      </c>
      <c r="P148" s="0" t="str">
        <f aca="false">(IFERROR(D148/32,""))</f>
        <v/>
      </c>
    </row>
    <row r="149" customFormat="false" ht="12.75" hidden="false" customHeight="false" outlineLevel="0" collapsed="false">
      <c r="A149" s="0" t="str">
        <f aca="false">IF('Leitura .bpp --&gt; .csv'!F193="","",'Leitura .bpp --&gt; .csv'!F193)</f>
        <v/>
      </c>
      <c r="B149" s="0" t="str">
        <f aca="false">IF('Leitura .bpp --&gt; .csv'!G193="","",'Leitura .bpp --&gt; .csv'!G193)</f>
        <v/>
      </c>
      <c r="C149" s="0" t="str">
        <f aca="false">IF('Leitura .bpp --&gt; .csv'!H193="","",'Leitura .bpp --&gt; .csv'!H193)</f>
        <v/>
      </c>
      <c r="D149" s="0" t="str">
        <f aca="false">IF('Leitura .bpp --&gt; .csv'!I193="","",'Leitura .bpp --&gt; .csv'!I193)</f>
        <v/>
      </c>
      <c r="E149" s="0" t="str">
        <f aca="false">IF('Leitura .bpp --&gt; .csv'!L193="","",'Leitura .bpp --&gt; .csv'!L193)</f>
        <v/>
      </c>
      <c r="F149" s="0" t="str">
        <f aca="false">IF('Leitura .bpp --&gt; .csv'!M193="","",'Leitura .bpp --&gt; .csv'!M193)</f>
        <v/>
      </c>
      <c r="G149" s="0" t="str">
        <f aca="false">IF('Leitura .bpp --&gt; .csv'!K193="","",'Leitura .bpp --&gt; .csv'!K193)</f>
        <v/>
      </c>
      <c r="H149" s="0" t="n">
        <f aca="false">IF(A149="",1,IF(A149=" 0 : 1","TP1",IF(A149=" 0 : 3","TP3","CAB")))</f>
        <v>1</v>
      </c>
      <c r="I149" s="0" t="str">
        <f aca="false">IF(A149="","",IF(C150=C149,1,""))</f>
        <v/>
      </c>
      <c r="J149" s="0" t="str">
        <f aca="false">IF(A149="","",IF(C149=C148,1,""))</f>
        <v/>
      </c>
      <c r="K149" s="0" t="str">
        <f aca="false">IF(I149=1,1,IF(J149=1,1,""))</f>
        <v/>
      </c>
      <c r="L149" s="0" t="str">
        <f aca="false">IFERROR(IF(AND(H148="",H149=""),"",IF(H149="TP1",1,IF(H149="TP3",15,IF(AND(A149="",L148=15),"",IF(H148="CAB",L148,L148+1))))),"")</f>
        <v/>
      </c>
      <c r="M149" s="0" t="str">
        <f aca="false">IF(A149="","",IF(H149="TP1","1"&amp;"_"&amp;C149,IF(H149="TP3","15"&amp;"_"&amp;C149,L149&amp;"_"&amp;D149)))</f>
        <v/>
      </c>
      <c r="N149" s="0" t="str">
        <f aca="false">E148&amp;IF(F149=1,"T","")</f>
        <v/>
      </c>
      <c r="O149" s="0" t="str">
        <f aca="false">IFERROR(((IF(L149=1,0,IF(L149=15,VARIÁVEIS!$B$34,((MID(C149,1,(SEARCH(".",C149,1)-1))&amp;","&amp;MID(C149,(SEARCH(".",C149,1)+1),1))&amp;"0")*1)))*1),"")</f>
        <v/>
      </c>
      <c r="P149" s="0" t="str">
        <f aca="false">(IFERROR(D149/32,""))</f>
        <v/>
      </c>
    </row>
    <row r="150" customFormat="false" ht="12.75" hidden="false" customHeight="false" outlineLevel="0" collapsed="false">
      <c r="A150" s="0" t="str">
        <f aca="false">IF('Leitura .bpp --&gt; .csv'!F194="","",'Leitura .bpp --&gt; .csv'!F194)</f>
        <v/>
      </c>
      <c r="B150" s="0" t="str">
        <f aca="false">IF('Leitura .bpp --&gt; .csv'!G194="","",'Leitura .bpp --&gt; .csv'!G194)</f>
        <v/>
      </c>
      <c r="C150" s="0" t="str">
        <f aca="false">IF('Leitura .bpp --&gt; .csv'!H194="","",'Leitura .bpp --&gt; .csv'!H194)</f>
        <v/>
      </c>
      <c r="D150" s="0" t="str">
        <f aca="false">IF('Leitura .bpp --&gt; .csv'!I194="","",'Leitura .bpp --&gt; .csv'!I194)</f>
        <v/>
      </c>
      <c r="E150" s="0" t="str">
        <f aca="false">IF('Leitura .bpp --&gt; .csv'!L194="","",'Leitura .bpp --&gt; .csv'!L194)</f>
        <v/>
      </c>
      <c r="F150" s="0" t="str">
        <f aca="false">IF('Leitura .bpp --&gt; .csv'!M194="","",'Leitura .bpp --&gt; .csv'!M194)</f>
        <v/>
      </c>
      <c r="G150" s="0" t="str">
        <f aca="false">IF('Leitura .bpp --&gt; .csv'!K194="","",'Leitura .bpp --&gt; .csv'!K194)</f>
        <v/>
      </c>
      <c r="H150" s="0" t="n">
        <f aca="false">IF(A150="",1,IF(A150=" 0 : 1","TP1",IF(A150=" 0 : 3","TP3","CAB")))</f>
        <v>1</v>
      </c>
      <c r="I150" s="0" t="str">
        <f aca="false">IF(A150="","",IF(C151=C150,1,""))</f>
        <v/>
      </c>
      <c r="J150" s="0" t="str">
        <f aca="false">IF(A150="","",IF(C150=C149,1,""))</f>
        <v/>
      </c>
      <c r="K150" s="0" t="str">
        <f aca="false">IF(I150=1,1,IF(J150=1,1,""))</f>
        <v/>
      </c>
      <c r="L150" s="0" t="str">
        <f aca="false">IFERROR(IF(AND(H149="",H150=""),"",IF(H150="TP1",1,IF(H150="TP3",15,IF(AND(A150="",L149=15),"",IF(H149="CAB",L149,L149+1))))),"")</f>
        <v/>
      </c>
      <c r="M150" s="0" t="str">
        <f aca="false">IF(A150="","",IF(H150="TP1","1"&amp;"_"&amp;C150,IF(H150="TP3","15"&amp;"_"&amp;C150,L150&amp;"_"&amp;D150)))</f>
        <v/>
      </c>
      <c r="N150" s="0" t="str">
        <f aca="false">E149&amp;IF(F150=1,"T","")</f>
        <v/>
      </c>
      <c r="O150" s="0" t="str">
        <f aca="false">IFERROR(((IF(L150=1,0,IF(L150=15,VARIÁVEIS!$B$34,((MID(C150,1,(SEARCH(".",C150,1)-1))&amp;","&amp;MID(C150,(SEARCH(".",C150,1)+1),1))&amp;"0")*1)))*1),"")</f>
        <v/>
      </c>
      <c r="P150" s="0" t="str">
        <f aca="false">(IFERROR(D150/32,""))</f>
        <v/>
      </c>
    </row>
    <row r="151" customFormat="false" ht="12.75" hidden="false" customHeight="false" outlineLevel="0" collapsed="false">
      <c r="A151" s="0" t="str">
        <f aca="false">IF('Leitura .bpp --&gt; .csv'!F195="","",'Leitura .bpp --&gt; .csv'!F195)</f>
        <v/>
      </c>
      <c r="B151" s="0" t="str">
        <f aca="false">IF('Leitura .bpp --&gt; .csv'!G195="","",'Leitura .bpp --&gt; .csv'!G195)</f>
        <v/>
      </c>
      <c r="C151" s="0" t="str">
        <f aca="false">IF('Leitura .bpp --&gt; .csv'!H195="","",'Leitura .bpp --&gt; .csv'!H195)</f>
        <v/>
      </c>
      <c r="D151" s="0" t="str">
        <f aca="false">IF('Leitura .bpp --&gt; .csv'!I195="","",'Leitura .bpp --&gt; .csv'!I195)</f>
        <v/>
      </c>
      <c r="E151" s="0" t="str">
        <f aca="false">IF('Leitura .bpp --&gt; .csv'!L195="","",'Leitura .bpp --&gt; .csv'!L195)</f>
        <v/>
      </c>
      <c r="F151" s="0" t="str">
        <f aca="false">IF('Leitura .bpp --&gt; .csv'!M195="","",'Leitura .bpp --&gt; .csv'!M195)</f>
        <v/>
      </c>
      <c r="G151" s="0" t="str">
        <f aca="false">IF('Leitura .bpp --&gt; .csv'!K195="","",'Leitura .bpp --&gt; .csv'!K195)</f>
        <v/>
      </c>
      <c r="H151" s="0" t="n">
        <f aca="false">IF(A151="",1,IF(A151=" 0 : 1","TP1",IF(A151=" 0 : 3","TP3","CAB")))</f>
        <v>1</v>
      </c>
      <c r="I151" s="0" t="str">
        <f aca="false">IF(A151="","",IF(C152=C151,1,""))</f>
        <v/>
      </c>
      <c r="J151" s="0" t="str">
        <f aca="false">IF(A151="","",IF(C151=C150,1,""))</f>
        <v/>
      </c>
      <c r="K151" s="0" t="str">
        <f aca="false">IF(I151=1,1,IF(J151=1,1,""))</f>
        <v/>
      </c>
      <c r="L151" s="0" t="str">
        <f aca="false">IFERROR(IF(AND(H150="",H151=""),"",IF(H151="TP1",1,IF(H151="TP3",15,IF(AND(A151="",L150=15),"",IF(H150="CAB",L150,L150+1))))),"")</f>
        <v/>
      </c>
      <c r="M151" s="0" t="str">
        <f aca="false">IF(A151="","",IF(H151="TP1","1"&amp;"_"&amp;C151,IF(H151="TP3","15"&amp;"_"&amp;C151,L151&amp;"_"&amp;D151)))</f>
        <v/>
      </c>
      <c r="N151" s="0" t="str">
        <f aca="false">E150&amp;IF(F151=1,"T","")</f>
        <v/>
      </c>
      <c r="O151" s="0" t="str">
        <f aca="false">IFERROR(((IF(L151=1,0,IF(L151=15,VARIÁVEIS!$B$34,((MID(C151,1,(SEARCH(".",C151,1)-1))&amp;","&amp;MID(C151,(SEARCH(".",C151,1)+1),1))&amp;"0")*1)))*1),"")</f>
        <v/>
      </c>
      <c r="P151" s="0" t="str">
        <f aca="false">(IFERROR(D151/32,""))</f>
        <v/>
      </c>
    </row>
    <row r="152" customFormat="false" ht="12.75" hidden="false" customHeight="false" outlineLevel="0" collapsed="false">
      <c r="A152" s="0" t="str">
        <f aca="false">IF('Leitura .bpp --&gt; .csv'!F196="","",'Leitura .bpp --&gt; .csv'!F196)</f>
        <v/>
      </c>
      <c r="B152" s="0" t="str">
        <f aca="false">IF('Leitura .bpp --&gt; .csv'!G196="","",'Leitura .bpp --&gt; .csv'!G196)</f>
        <v/>
      </c>
      <c r="C152" s="0" t="str">
        <f aca="false">IF('Leitura .bpp --&gt; .csv'!H196="","",'Leitura .bpp --&gt; .csv'!H196)</f>
        <v/>
      </c>
      <c r="D152" s="0" t="str">
        <f aca="false">IF('Leitura .bpp --&gt; .csv'!I196="","",'Leitura .bpp --&gt; .csv'!I196)</f>
        <v/>
      </c>
      <c r="E152" s="0" t="str">
        <f aca="false">IF('Leitura .bpp --&gt; .csv'!L196="","",'Leitura .bpp --&gt; .csv'!L196)</f>
        <v/>
      </c>
      <c r="F152" s="0" t="str">
        <f aca="false">IF('Leitura .bpp --&gt; .csv'!M196="","",'Leitura .bpp --&gt; .csv'!M196)</f>
        <v/>
      </c>
      <c r="G152" s="0" t="str">
        <f aca="false">IF('Leitura .bpp --&gt; .csv'!K196="","",'Leitura .bpp --&gt; .csv'!K196)</f>
        <v/>
      </c>
      <c r="H152" s="0" t="n">
        <f aca="false">IF(A152="",1,IF(A152=" 0 : 1","TP1",IF(A152=" 0 : 3","TP3","CAB")))</f>
        <v>1</v>
      </c>
      <c r="I152" s="0" t="str">
        <f aca="false">IF(A152="","",IF(C153=C152,1,""))</f>
        <v/>
      </c>
      <c r="J152" s="0" t="str">
        <f aca="false">IF(A152="","",IF(C152=C151,1,""))</f>
        <v/>
      </c>
      <c r="K152" s="0" t="str">
        <f aca="false">IF(I152=1,1,IF(J152=1,1,""))</f>
        <v/>
      </c>
      <c r="L152" s="0" t="str">
        <f aca="false">IFERROR(IF(AND(H151="",H152=""),"",IF(H152="TP1",1,IF(H152="TP3",15,IF(AND(A152="",L151=15),"",IF(H151="CAB",L151,L151+1))))),"")</f>
        <v/>
      </c>
      <c r="M152" s="0" t="str">
        <f aca="false">IF(A152="","",IF(H152="TP1","1"&amp;"_"&amp;C152,IF(H152="TP3","15"&amp;"_"&amp;C152,L152&amp;"_"&amp;D152)))</f>
        <v/>
      </c>
      <c r="N152" s="0" t="str">
        <f aca="false">E151&amp;IF(F152=1,"T","")</f>
        <v/>
      </c>
      <c r="O152" s="0" t="str">
        <f aca="false">IFERROR(((IF(L152=1,0,IF(L152=15,VARIÁVEIS!$B$34,((MID(C152,1,(SEARCH(".",C152,1)-1))&amp;","&amp;MID(C152,(SEARCH(".",C152,1)+1),1))&amp;"0")*1)))*1),"")</f>
        <v/>
      </c>
      <c r="P152" s="0" t="str">
        <f aca="false">(IFERROR(D152/32,""))</f>
        <v/>
      </c>
    </row>
    <row r="153" customFormat="false" ht="12.75" hidden="false" customHeight="false" outlineLevel="0" collapsed="false">
      <c r="A153" s="0" t="str">
        <f aca="false">IF('Leitura .bpp --&gt; .csv'!F197="","",'Leitura .bpp --&gt; .csv'!F197)</f>
        <v/>
      </c>
      <c r="B153" s="0" t="str">
        <f aca="false">IF('Leitura .bpp --&gt; .csv'!G197="","",'Leitura .bpp --&gt; .csv'!G197)</f>
        <v/>
      </c>
      <c r="C153" s="0" t="str">
        <f aca="false">IF('Leitura .bpp --&gt; .csv'!H197="","",'Leitura .bpp --&gt; .csv'!H197)</f>
        <v/>
      </c>
      <c r="D153" s="0" t="str">
        <f aca="false">IF('Leitura .bpp --&gt; .csv'!I197="","",'Leitura .bpp --&gt; .csv'!I197)</f>
        <v/>
      </c>
      <c r="E153" s="0" t="str">
        <f aca="false">IF('Leitura .bpp --&gt; .csv'!L197="","",'Leitura .bpp --&gt; .csv'!L197)</f>
        <v/>
      </c>
      <c r="F153" s="0" t="str">
        <f aca="false">IF('Leitura .bpp --&gt; .csv'!M197="","",'Leitura .bpp --&gt; .csv'!M197)</f>
        <v/>
      </c>
      <c r="G153" s="0" t="str">
        <f aca="false">IF('Leitura .bpp --&gt; .csv'!K197="","",'Leitura .bpp --&gt; .csv'!K197)</f>
        <v/>
      </c>
      <c r="H153" s="0" t="n">
        <f aca="false">IF(A153="",1,IF(A153=" 0 : 1","TP1",IF(A153=" 0 : 3","TP3","CAB")))</f>
        <v>1</v>
      </c>
      <c r="I153" s="0" t="str">
        <f aca="false">IF(A153="","",IF(C154=C153,1,""))</f>
        <v/>
      </c>
      <c r="J153" s="0" t="str">
        <f aca="false">IF(A153="","",IF(C153=C152,1,""))</f>
        <v/>
      </c>
      <c r="K153" s="0" t="str">
        <f aca="false">IF(I153=1,1,IF(J153=1,1,""))</f>
        <v/>
      </c>
      <c r="L153" s="0" t="str">
        <f aca="false">IFERROR(IF(AND(H152="",H153=""),"",IF(H153="TP1",1,IF(H153="TP3",15,IF(AND(A153="",L152=15),"",IF(H152="CAB",L152,L152+1))))),"")</f>
        <v/>
      </c>
      <c r="M153" s="0" t="str">
        <f aca="false">IF(A153="","",IF(H153="TP1","1"&amp;"_"&amp;C153,IF(H153="TP3","15"&amp;"_"&amp;C153,L153&amp;"_"&amp;D153)))</f>
        <v/>
      </c>
      <c r="N153" s="0" t="str">
        <f aca="false">E152&amp;IF(F153=1,"T","")</f>
        <v/>
      </c>
      <c r="O153" s="0" t="str">
        <f aca="false">IFERROR(((IF(L153=1,0,IF(L153=15,VARIÁVEIS!$B$34,((MID(C153,1,(SEARCH(".",C153,1)-1))&amp;","&amp;MID(C153,(SEARCH(".",C153,1)+1),1))&amp;"0")*1)))*1),"")</f>
        <v/>
      </c>
      <c r="P153" s="0" t="str">
        <f aca="false">(IFERROR(D153/32,""))</f>
        <v/>
      </c>
    </row>
    <row r="154" customFormat="false" ht="12.75" hidden="false" customHeight="false" outlineLevel="0" collapsed="false">
      <c r="A154" s="0" t="str">
        <f aca="false">IF('Leitura .bpp --&gt; .csv'!F198="","",'Leitura .bpp --&gt; .csv'!F198)</f>
        <v/>
      </c>
      <c r="B154" s="0" t="str">
        <f aca="false">IF('Leitura .bpp --&gt; .csv'!G198="","",'Leitura .bpp --&gt; .csv'!G198)</f>
        <v/>
      </c>
      <c r="C154" s="0" t="str">
        <f aca="false">IF('Leitura .bpp --&gt; .csv'!H198="","",'Leitura .bpp --&gt; .csv'!H198)</f>
        <v/>
      </c>
      <c r="D154" s="0" t="str">
        <f aca="false">IF('Leitura .bpp --&gt; .csv'!I198="","",'Leitura .bpp --&gt; .csv'!I198)</f>
        <v/>
      </c>
      <c r="E154" s="0" t="str">
        <f aca="false">IF('Leitura .bpp --&gt; .csv'!L198="","",'Leitura .bpp --&gt; .csv'!L198)</f>
        <v/>
      </c>
      <c r="F154" s="0" t="str">
        <f aca="false">IF('Leitura .bpp --&gt; .csv'!M198="","",'Leitura .bpp --&gt; .csv'!M198)</f>
        <v/>
      </c>
      <c r="G154" s="0" t="str">
        <f aca="false">IF('Leitura .bpp --&gt; .csv'!K198="","",'Leitura .bpp --&gt; .csv'!K198)</f>
        <v/>
      </c>
      <c r="H154" s="0" t="n">
        <f aca="false">IF(A154="",1,IF(A154=" 0 : 1","TP1",IF(A154=" 0 : 3","TP3","CAB")))</f>
        <v>1</v>
      </c>
      <c r="I154" s="0" t="str">
        <f aca="false">IF(A154="","",IF(C155=C154,1,""))</f>
        <v/>
      </c>
      <c r="J154" s="0" t="str">
        <f aca="false">IF(A154="","",IF(C154=C153,1,""))</f>
        <v/>
      </c>
      <c r="K154" s="0" t="str">
        <f aca="false">IF(I154=1,1,IF(J154=1,1,""))</f>
        <v/>
      </c>
      <c r="L154" s="0" t="str">
        <f aca="false">IFERROR(IF(AND(H153="",H154=""),"",IF(H154="TP1",1,IF(H154="TP3",15,IF(AND(A154="",L153=15),"",IF(H153="CAB",L153,L153+1))))),"")</f>
        <v/>
      </c>
      <c r="M154" s="0" t="str">
        <f aca="false">IF(A154="","",IF(H154="TP1","1"&amp;"_"&amp;C154,IF(H154="TP3","15"&amp;"_"&amp;C154,L154&amp;"_"&amp;D154)))</f>
        <v/>
      </c>
      <c r="N154" s="0" t="str">
        <f aca="false">E153&amp;IF(F154=1,"T","")</f>
        <v/>
      </c>
      <c r="O154" s="0" t="str">
        <f aca="false">IFERROR(((IF(L154=1,0,IF(L154=15,VARIÁVEIS!$B$34,((MID(C154,1,(SEARCH(".",C154,1)-1))&amp;","&amp;MID(C154,(SEARCH(".",C154,1)+1),1))&amp;"0")*1)))*1),"")</f>
        <v/>
      </c>
      <c r="P154" s="0" t="str">
        <f aca="false">(IFERROR(D154/32,""))</f>
        <v/>
      </c>
    </row>
    <row r="155" customFormat="false" ht="12.75" hidden="false" customHeight="false" outlineLevel="0" collapsed="false">
      <c r="A155" s="0" t="str">
        <f aca="false">IF('Leitura .bpp --&gt; .csv'!F199="","",'Leitura .bpp --&gt; .csv'!F199)</f>
        <v/>
      </c>
      <c r="B155" s="0" t="str">
        <f aca="false">IF('Leitura .bpp --&gt; .csv'!G199="","",'Leitura .bpp --&gt; .csv'!G199)</f>
        <v/>
      </c>
      <c r="C155" s="0" t="str">
        <f aca="false">IF('Leitura .bpp --&gt; .csv'!H199="","",'Leitura .bpp --&gt; .csv'!H199)</f>
        <v/>
      </c>
      <c r="D155" s="0" t="str">
        <f aca="false">IF('Leitura .bpp --&gt; .csv'!I199="","",'Leitura .bpp --&gt; .csv'!I199)</f>
        <v/>
      </c>
      <c r="E155" s="0" t="str">
        <f aca="false">IF('Leitura .bpp --&gt; .csv'!L199="","",'Leitura .bpp --&gt; .csv'!L199)</f>
        <v/>
      </c>
      <c r="F155" s="0" t="str">
        <f aca="false">IF('Leitura .bpp --&gt; .csv'!M199="","",'Leitura .bpp --&gt; .csv'!M199)</f>
        <v/>
      </c>
      <c r="G155" s="0" t="str">
        <f aca="false">IF('Leitura .bpp --&gt; .csv'!K199="","",'Leitura .bpp --&gt; .csv'!K199)</f>
        <v/>
      </c>
      <c r="H155" s="0" t="n">
        <f aca="false">IF(A155="",1,IF(A155=" 0 : 1","TP1",IF(A155=" 0 : 3","TP3","CAB")))</f>
        <v>1</v>
      </c>
      <c r="I155" s="0" t="str">
        <f aca="false">IF(A155="","",IF(C156=C155,1,""))</f>
        <v/>
      </c>
      <c r="J155" s="0" t="str">
        <f aca="false">IF(A155="","",IF(C155=C154,1,""))</f>
        <v/>
      </c>
      <c r="K155" s="0" t="str">
        <f aca="false">IF(I155=1,1,IF(J155=1,1,""))</f>
        <v/>
      </c>
      <c r="L155" s="0" t="str">
        <f aca="false">IFERROR(IF(AND(H154="",H155=""),"",IF(H155="TP1",1,IF(H155="TP3",15,IF(AND(A155="",L154=15),"",IF(H154="CAB",L154,L154+1))))),"")</f>
        <v/>
      </c>
      <c r="M155" s="0" t="str">
        <f aca="false">IF(A155="","",IF(H155="TP1","1"&amp;"_"&amp;C155,IF(H155="TP3","15"&amp;"_"&amp;C155,L155&amp;"_"&amp;D155)))</f>
        <v/>
      </c>
      <c r="N155" s="0" t="str">
        <f aca="false">E154&amp;IF(F155=1,"T","")</f>
        <v/>
      </c>
      <c r="O155" s="0" t="str">
        <f aca="false">IFERROR(((IF(L155=1,0,IF(L155=15,VARIÁVEIS!$B$34,((MID(C155,1,(SEARCH(".",C155,1)-1))&amp;","&amp;MID(C155,(SEARCH(".",C155,1)+1),1))&amp;"0")*1)))*1),"")</f>
        <v/>
      </c>
      <c r="P155" s="0" t="str">
        <f aca="false">(IFERROR(D155/32,""))</f>
        <v/>
      </c>
    </row>
    <row r="156" customFormat="false" ht="12.75" hidden="false" customHeight="false" outlineLevel="0" collapsed="false">
      <c r="A156" s="0" t="str">
        <f aca="false">IF('Leitura .bpp --&gt; .csv'!F200="","",'Leitura .bpp --&gt; .csv'!F200)</f>
        <v/>
      </c>
      <c r="B156" s="0" t="str">
        <f aca="false">IF('Leitura .bpp --&gt; .csv'!G200="","",'Leitura .bpp --&gt; .csv'!G200)</f>
        <v/>
      </c>
      <c r="C156" s="0" t="str">
        <f aca="false">IF('Leitura .bpp --&gt; .csv'!H200="","",'Leitura .bpp --&gt; .csv'!H200)</f>
        <v/>
      </c>
      <c r="D156" s="0" t="str">
        <f aca="false">IF('Leitura .bpp --&gt; .csv'!I200="","",'Leitura .bpp --&gt; .csv'!I200)</f>
        <v/>
      </c>
      <c r="E156" s="0" t="str">
        <f aca="false">IF('Leitura .bpp --&gt; .csv'!L200="","",'Leitura .bpp --&gt; .csv'!L200)</f>
        <v/>
      </c>
      <c r="F156" s="0" t="str">
        <f aca="false">IF('Leitura .bpp --&gt; .csv'!M200="","",'Leitura .bpp --&gt; .csv'!M200)</f>
        <v/>
      </c>
      <c r="G156" s="0" t="str">
        <f aca="false">IF('Leitura .bpp --&gt; .csv'!K200="","",'Leitura .bpp --&gt; .csv'!K200)</f>
        <v/>
      </c>
      <c r="H156" s="0" t="n">
        <f aca="false">IF(A156="",1,IF(A156=" 0 : 1","TP1",IF(A156=" 0 : 3","TP3","CAB")))</f>
        <v>1</v>
      </c>
      <c r="I156" s="0" t="str">
        <f aca="false">IF(A156="","",IF(C157=C156,1,""))</f>
        <v/>
      </c>
      <c r="J156" s="0" t="str">
        <f aca="false">IF(A156="","",IF(C156=C155,1,""))</f>
        <v/>
      </c>
      <c r="K156" s="0" t="str">
        <f aca="false">IF(I156=1,1,IF(J156=1,1,""))</f>
        <v/>
      </c>
      <c r="L156" s="0" t="str">
        <f aca="false">IFERROR(IF(AND(H155="",H156=""),"",IF(H156="TP1",1,IF(H156="TP3",15,IF(AND(A156="",L155=15),"",IF(H155="CAB",L155,L155+1))))),"")</f>
        <v/>
      </c>
      <c r="M156" s="0" t="str">
        <f aca="false">IF(A156="","",IF(H156="TP1","1"&amp;"_"&amp;C156,IF(H156="TP3","15"&amp;"_"&amp;C156,L156&amp;"_"&amp;D156)))</f>
        <v/>
      </c>
      <c r="N156" s="0" t="str">
        <f aca="false">E155&amp;IF(F156=1,"T","")</f>
        <v/>
      </c>
      <c r="O156" s="0" t="str">
        <f aca="false">IFERROR(((IF(L156=1,0,IF(L156=15,VARIÁVEIS!$B$34,((MID(C156,1,(SEARCH(".",C156,1)-1))&amp;","&amp;MID(C156,(SEARCH(".",C156,1)+1),1))&amp;"0")*1)))*1),"")</f>
        <v/>
      </c>
      <c r="P156" s="0" t="str">
        <f aca="false">(IFERROR(D156/32,""))</f>
        <v/>
      </c>
    </row>
    <row r="157" customFormat="false" ht="12.75" hidden="false" customHeight="false" outlineLevel="0" collapsed="false">
      <c r="A157" s="0" t="str">
        <f aca="false">IF('Leitura .bpp --&gt; .csv'!F201="","",'Leitura .bpp --&gt; .csv'!F201)</f>
        <v/>
      </c>
      <c r="B157" s="0" t="str">
        <f aca="false">IF('Leitura .bpp --&gt; .csv'!G201="","",'Leitura .bpp --&gt; .csv'!G201)</f>
        <v/>
      </c>
      <c r="C157" s="0" t="str">
        <f aca="false">IF('Leitura .bpp --&gt; .csv'!H201="","",'Leitura .bpp --&gt; .csv'!H201)</f>
        <v/>
      </c>
      <c r="D157" s="0" t="str">
        <f aca="false">IF('Leitura .bpp --&gt; .csv'!I201="","",'Leitura .bpp --&gt; .csv'!I201)</f>
        <v/>
      </c>
      <c r="E157" s="0" t="str">
        <f aca="false">IF('Leitura .bpp --&gt; .csv'!L201="","",'Leitura .bpp --&gt; .csv'!L201)</f>
        <v/>
      </c>
      <c r="F157" s="0" t="str">
        <f aca="false">IF('Leitura .bpp --&gt; .csv'!M201="","",'Leitura .bpp --&gt; .csv'!M201)</f>
        <v/>
      </c>
      <c r="G157" s="0" t="str">
        <f aca="false">IF('Leitura .bpp --&gt; .csv'!K201="","",'Leitura .bpp --&gt; .csv'!K201)</f>
        <v/>
      </c>
      <c r="H157" s="0" t="n">
        <f aca="false">IF(A157="",1,IF(A157=" 0 : 1","TP1",IF(A157=" 0 : 3","TP3","CAB")))</f>
        <v>1</v>
      </c>
      <c r="I157" s="0" t="str">
        <f aca="false">IF(A157="","",IF(C158=C157,1,""))</f>
        <v/>
      </c>
      <c r="J157" s="0" t="str">
        <f aca="false">IF(A157="","",IF(C157=C156,1,""))</f>
        <v/>
      </c>
      <c r="K157" s="0" t="str">
        <f aca="false">IF(I157=1,1,IF(J157=1,1,""))</f>
        <v/>
      </c>
      <c r="L157" s="0" t="str">
        <f aca="false">IFERROR(IF(AND(H156="",H157=""),"",IF(H157="TP1",1,IF(H157="TP3",15,IF(AND(A157="",L156=15),"",IF(H156="CAB",L156,L156+1))))),"")</f>
        <v/>
      </c>
      <c r="M157" s="0" t="str">
        <f aca="false">IF(A157="","",IF(H157="TP1","1"&amp;"_"&amp;C157,IF(H157="TP3","15"&amp;"_"&amp;C157,L157&amp;"_"&amp;D157)))</f>
        <v/>
      </c>
      <c r="N157" s="0" t="str">
        <f aca="false">E156&amp;IF(F157=1,"T","")</f>
        <v/>
      </c>
      <c r="O157" s="0" t="str">
        <f aca="false">IFERROR(((IF(L157=1,0,IF(L157=15,VARIÁVEIS!$B$34,((MID(C157,1,(SEARCH(".",C157,1)-1))&amp;","&amp;MID(C157,(SEARCH(".",C157,1)+1),1))&amp;"0")*1)))*1),"")</f>
        <v/>
      </c>
      <c r="P157" s="0" t="str">
        <f aca="false">(IFERROR(D157/32,""))</f>
        <v/>
      </c>
    </row>
    <row r="158" customFormat="false" ht="12.75" hidden="false" customHeight="false" outlineLevel="0" collapsed="false">
      <c r="A158" s="0" t="str">
        <f aca="false">IF('Leitura .bpp --&gt; .csv'!F202="","",'Leitura .bpp --&gt; .csv'!F202)</f>
        <v/>
      </c>
      <c r="B158" s="0" t="str">
        <f aca="false">IF('Leitura .bpp --&gt; .csv'!G202="","",'Leitura .bpp --&gt; .csv'!G202)</f>
        <v/>
      </c>
      <c r="C158" s="0" t="str">
        <f aca="false">IF('Leitura .bpp --&gt; .csv'!H202="","",'Leitura .bpp --&gt; .csv'!H202)</f>
        <v/>
      </c>
      <c r="D158" s="0" t="str">
        <f aca="false">IF('Leitura .bpp --&gt; .csv'!I202="","",'Leitura .bpp --&gt; .csv'!I202)</f>
        <v/>
      </c>
      <c r="E158" s="0" t="str">
        <f aca="false">IF('Leitura .bpp --&gt; .csv'!L202="","",'Leitura .bpp --&gt; .csv'!L202)</f>
        <v/>
      </c>
      <c r="F158" s="0" t="str">
        <f aca="false">IF('Leitura .bpp --&gt; .csv'!M202="","",'Leitura .bpp --&gt; .csv'!M202)</f>
        <v/>
      </c>
      <c r="G158" s="0" t="str">
        <f aca="false">IF('Leitura .bpp --&gt; .csv'!K202="","",'Leitura .bpp --&gt; .csv'!K202)</f>
        <v/>
      </c>
      <c r="H158" s="0" t="n">
        <f aca="false">IF(A158="",1,IF(A158=" 0 : 1","TP1",IF(A158=" 0 : 3","TP3","CAB")))</f>
        <v>1</v>
      </c>
      <c r="I158" s="0" t="str">
        <f aca="false">IF(A158="","",IF(C159=C158,1,""))</f>
        <v/>
      </c>
      <c r="J158" s="0" t="str">
        <f aca="false">IF(A158="","",IF(C158=C157,1,""))</f>
        <v/>
      </c>
      <c r="K158" s="0" t="str">
        <f aca="false">IF(I158=1,1,IF(J158=1,1,""))</f>
        <v/>
      </c>
      <c r="L158" s="0" t="str">
        <f aca="false">IFERROR(IF(AND(H157="",H158=""),"",IF(H158="TP1",1,IF(H158="TP3",15,IF(AND(A158="",L157=15),"",IF(H157="CAB",L157,L157+1))))),"")</f>
        <v/>
      </c>
      <c r="M158" s="0" t="str">
        <f aca="false">IF(A158="","",IF(H158="TP1","1"&amp;"_"&amp;C158,IF(H158="TP3","15"&amp;"_"&amp;C158,L158&amp;"_"&amp;D158)))</f>
        <v/>
      </c>
      <c r="N158" s="0" t="str">
        <f aca="false">E157&amp;IF(F158=1,"T","")</f>
        <v/>
      </c>
      <c r="O158" s="0" t="str">
        <f aca="false">IFERROR(((IF(L158=1,0,IF(L158=15,VARIÁVEIS!$B$34,((MID(C158,1,(SEARCH(".",C158,1)-1))&amp;","&amp;MID(C158,(SEARCH(".",C158,1)+1),1))&amp;"0")*1)))*1),"")</f>
        <v/>
      </c>
      <c r="P158" s="0" t="str">
        <f aca="false">(IFERROR(D158/32,""))</f>
        <v/>
      </c>
    </row>
    <row r="159" customFormat="false" ht="12.75" hidden="false" customHeight="false" outlineLevel="0" collapsed="false">
      <c r="A159" s="0" t="str">
        <f aca="false">IF('Leitura .bpp --&gt; .csv'!F203="","",'Leitura .bpp --&gt; .csv'!F203)</f>
        <v/>
      </c>
      <c r="B159" s="0" t="str">
        <f aca="false">IF('Leitura .bpp --&gt; .csv'!G203="","",'Leitura .bpp --&gt; .csv'!G203)</f>
        <v/>
      </c>
      <c r="C159" s="0" t="str">
        <f aca="false">IF('Leitura .bpp --&gt; .csv'!H203="","",'Leitura .bpp --&gt; .csv'!H203)</f>
        <v/>
      </c>
      <c r="D159" s="0" t="str">
        <f aca="false">IF('Leitura .bpp --&gt; .csv'!I203="","",'Leitura .bpp --&gt; .csv'!I203)</f>
        <v/>
      </c>
      <c r="E159" s="0" t="str">
        <f aca="false">IF('Leitura .bpp --&gt; .csv'!L203="","",'Leitura .bpp --&gt; .csv'!L203)</f>
        <v/>
      </c>
      <c r="F159" s="0" t="str">
        <f aca="false">IF('Leitura .bpp --&gt; .csv'!M203="","",'Leitura .bpp --&gt; .csv'!M203)</f>
        <v/>
      </c>
      <c r="G159" s="0" t="str">
        <f aca="false">IF('Leitura .bpp --&gt; .csv'!K203="","",'Leitura .bpp --&gt; .csv'!K203)</f>
        <v/>
      </c>
      <c r="H159" s="0" t="n">
        <f aca="false">IF(A159="",1,IF(A159=" 0 : 1","TP1",IF(A159=" 0 : 3","TP3","CAB")))</f>
        <v>1</v>
      </c>
      <c r="I159" s="0" t="str">
        <f aca="false">IF(A159="","",IF(C160=C159,1,""))</f>
        <v/>
      </c>
      <c r="J159" s="0" t="str">
        <f aca="false">IF(A159="","",IF(C159=C158,1,""))</f>
        <v/>
      </c>
      <c r="K159" s="0" t="str">
        <f aca="false">IF(I159=1,1,IF(J159=1,1,""))</f>
        <v/>
      </c>
      <c r="L159" s="0" t="str">
        <f aca="false">IFERROR(IF(AND(H158="",H159=""),"",IF(H159="TP1",1,IF(H159="TP3",15,IF(AND(A159="",L158=15),"",IF(H158="CAB",L158,L158+1))))),"")</f>
        <v/>
      </c>
      <c r="M159" s="0" t="str">
        <f aca="false">IF(A159="","",IF(H159="TP1","1"&amp;"_"&amp;C159,IF(H159="TP3","15"&amp;"_"&amp;C159,L159&amp;"_"&amp;D159)))</f>
        <v/>
      </c>
      <c r="N159" s="0" t="str">
        <f aca="false">E158&amp;IF(F159=1,"T","")</f>
        <v/>
      </c>
      <c r="O159" s="0" t="str">
        <f aca="false">IFERROR(((IF(L159=1,0,IF(L159=15,VARIÁVEIS!$B$34,((MID(C159,1,(SEARCH(".",C159,1)-1))&amp;","&amp;MID(C159,(SEARCH(".",C159,1)+1),1))&amp;"0")*1)))*1),"")</f>
        <v/>
      </c>
      <c r="P159" s="0" t="str">
        <f aca="false">(IFERROR(D159/32,""))</f>
        <v/>
      </c>
    </row>
    <row r="160" customFormat="false" ht="12.75" hidden="false" customHeight="false" outlineLevel="0" collapsed="false">
      <c r="A160" s="0" t="str">
        <f aca="false">IF('Leitura .bpp --&gt; .csv'!F204="","",'Leitura .bpp --&gt; .csv'!F204)</f>
        <v/>
      </c>
      <c r="B160" s="0" t="str">
        <f aca="false">IF('Leitura .bpp --&gt; .csv'!G204="","",'Leitura .bpp --&gt; .csv'!G204)</f>
        <v/>
      </c>
      <c r="C160" s="0" t="str">
        <f aca="false">IF('Leitura .bpp --&gt; .csv'!H204="","",'Leitura .bpp --&gt; .csv'!H204)</f>
        <v/>
      </c>
      <c r="D160" s="0" t="str">
        <f aca="false">IF('Leitura .bpp --&gt; .csv'!I204="","",'Leitura .bpp --&gt; .csv'!I204)</f>
        <v/>
      </c>
      <c r="E160" s="0" t="str">
        <f aca="false">IF('Leitura .bpp --&gt; .csv'!L204="","",'Leitura .bpp --&gt; .csv'!L204)</f>
        <v/>
      </c>
      <c r="F160" s="0" t="str">
        <f aca="false">IF('Leitura .bpp --&gt; .csv'!M204="","",'Leitura .bpp --&gt; .csv'!M204)</f>
        <v/>
      </c>
      <c r="G160" s="0" t="str">
        <f aca="false">IF('Leitura .bpp --&gt; .csv'!K204="","",'Leitura .bpp --&gt; .csv'!K204)</f>
        <v/>
      </c>
      <c r="H160" s="0" t="n">
        <f aca="false">IF(A160="",1,IF(A160=" 0 : 1","TP1",IF(A160=" 0 : 3","TP3","CAB")))</f>
        <v>1</v>
      </c>
      <c r="I160" s="0" t="str">
        <f aca="false">IF(A160="","",IF(C161=C160,1,""))</f>
        <v/>
      </c>
      <c r="J160" s="0" t="str">
        <f aca="false">IF(A160="","",IF(C160=C159,1,""))</f>
        <v/>
      </c>
      <c r="K160" s="0" t="str">
        <f aca="false">IF(I160=1,1,IF(J160=1,1,""))</f>
        <v/>
      </c>
      <c r="L160" s="0" t="str">
        <f aca="false">IFERROR(IF(AND(H159="",H160=""),"",IF(H160="TP1",1,IF(H160="TP3",15,IF(AND(A160="",L159=15),"",IF(H159="CAB",L159,L159+1))))),"")</f>
        <v/>
      </c>
      <c r="M160" s="0" t="str">
        <f aca="false">IF(A160="","",IF(H160="TP1","1"&amp;"_"&amp;C160,IF(H160="TP3","15"&amp;"_"&amp;C160,L160&amp;"_"&amp;D160)))</f>
        <v/>
      </c>
      <c r="N160" s="0" t="str">
        <f aca="false">E159&amp;IF(F160=1,"T","")</f>
        <v/>
      </c>
      <c r="O160" s="0" t="str">
        <f aca="false">IFERROR(((IF(L160=1,0,IF(L160=15,VARIÁVEIS!$B$34,((MID(C160,1,(SEARCH(".",C160,1)-1))&amp;","&amp;MID(C160,(SEARCH(".",C160,1)+1),1))&amp;"0")*1)))*1),"")</f>
        <v/>
      </c>
      <c r="P160" s="0" t="str">
        <f aca="false">(IFERROR(D160/32,""))</f>
        <v/>
      </c>
    </row>
    <row r="161" customFormat="false" ht="12.75" hidden="false" customHeight="false" outlineLevel="0" collapsed="false">
      <c r="A161" s="0" t="str">
        <f aca="false">IF('Leitura .bpp --&gt; .csv'!F205="","",'Leitura .bpp --&gt; .csv'!F205)</f>
        <v/>
      </c>
      <c r="B161" s="0" t="str">
        <f aca="false">IF('Leitura .bpp --&gt; .csv'!G205="","",'Leitura .bpp --&gt; .csv'!G205)</f>
        <v/>
      </c>
      <c r="C161" s="0" t="str">
        <f aca="false">IF('Leitura .bpp --&gt; .csv'!H205="","",'Leitura .bpp --&gt; .csv'!H205)</f>
        <v/>
      </c>
      <c r="D161" s="0" t="str">
        <f aca="false">IF('Leitura .bpp --&gt; .csv'!I205="","",'Leitura .bpp --&gt; .csv'!I205)</f>
        <v/>
      </c>
      <c r="E161" s="0" t="str">
        <f aca="false">IF('Leitura .bpp --&gt; .csv'!L205="","",'Leitura .bpp --&gt; .csv'!L205)</f>
        <v/>
      </c>
      <c r="F161" s="0" t="str">
        <f aca="false">IF('Leitura .bpp --&gt; .csv'!M205="","",'Leitura .bpp --&gt; .csv'!M205)</f>
        <v/>
      </c>
      <c r="G161" s="0" t="str">
        <f aca="false">IF('Leitura .bpp --&gt; .csv'!K205="","",'Leitura .bpp --&gt; .csv'!K205)</f>
        <v/>
      </c>
      <c r="H161" s="0" t="n">
        <f aca="false">IF(A161="",1,IF(A161=" 0 : 1","TP1",IF(A161=" 0 : 3","TP3","CAB")))</f>
        <v>1</v>
      </c>
      <c r="I161" s="0" t="str">
        <f aca="false">IF(A161="","",IF(C162=C161,1,""))</f>
        <v/>
      </c>
      <c r="J161" s="0" t="str">
        <f aca="false">IF(A161="","",IF(C161=C160,1,""))</f>
        <v/>
      </c>
      <c r="K161" s="0" t="str">
        <f aca="false">IF(I161=1,1,IF(J161=1,1,""))</f>
        <v/>
      </c>
      <c r="L161" s="0" t="str">
        <f aca="false">IFERROR(IF(AND(H160="",H161=""),"",IF(H161="TP1",1,IF(H161="TP3",15,IF(AND(A161="",L160=15),"",IF(H160="CAB",L160,L160+1))))),"")</f>
        <v/>
      </c>
      <c r="M161" s="0" t="str">
        <f aca="false">IF(A161="","",IF(H161="TP1","1"&amp;"_"&amp;C161,IF(H161="TP3","15"&amp;"_"&amp;C161,L161&amp;"_"&amp;D161)))</f>
        <v/>
      </c>
      <c r="N161" s="0" t="str">
        <f aca="false">E160&amp;IF(F161=1,"T","")</f>
        <v/>
      </c>
      <c r="O161" s="0" t="str">
        <f aca="false">IFERROR(((IF(L161=1,0,IF(L161=15,VARIÁVEIS!$B$34,((MID(C161,1,(SEARCH(".",C161,1)-1))&amp;","&amp;MID(C161,(SEARCH(".",C161,1)+1),1))&amp;"0")*1)))*1),"")</f>
        <v/>
      </c>
      <c r="P161" s="0" t="str">
        <f aca="false">(IFERROR(D161/32,""))</f>
        <v/>
      </c>
    </row>
    <row r="162" customFormat="false" ht="12.75" hidden="false" customHeight="false" outlineLevel="0" collapsed="false">
      <c r="A162" s="0" t="str">
        <f aca="false">IF('Leitura .bpp --&gt; .csv'!F206="","",'Leitura .bpp --&gt; .csv'!F206)</f>
        <v/>
      </c>
      <c r="B162" s="0" t="str">
        <f aca="false">IF('Leitura .bpp --&gt; .csv'!G206="","",'Leitura .bpp --&gt; .csv'!G206)</f>
        <v/>
      </c>
      <c r="C162" s="0" t="str">
        <f aca="false">IF('Leitura .bpp --&gt; .csv'!H206="","",'Leitura .bpp --&gt; .csv'!H206)</f>
        <v/>
      </c>
      <c r="D162" s="0" t="str">
        <f aca="false">IF('Leitura .bpp --&gt; .csv'!I206="","",'Leitura .bpp --&gt; .csv'!I206)</f>
        <v/>
      </c>
      <c r="E162" s="0" t="str">
        <f aca="false">IF('Leitura .bpp --&gt; .csv'!L206="","",'Leitura .bpp --&gt; .csv'!L206)</f>
        <v/>
      </c>
      <c r="F162" s="0" t="str">
        <f aca="false">IF('Leitura .bpp --&gt; .csv'!M206="","",'Leitura .bpp --&gt; .csv'!M206)</f>
        <v/>
      </c>
      <c r="G162" s="0" t="str">
        <f aca="false">IF('Leitura .bpp --&gt; .csv'!K206="","",'Leitura .bpp --&gt; .csv'!K206)</f>
        <v/>
      </c>
      <c r="H162" s="0" t="n">
        <f aca="false">IF(A162="",1,IF(A162=" 0 : 1","TP1",IF(A162=" 0 : 3","TP3","CAB")))</f>
        <v>1</v>
      </c>
      <c r="I162" s="0" t="str">
        <f aca="false">IF(A162="","",IF(C163=C162,1,""))</f>
        <v/>
      </c>
      <c r="J162" s="0" t="str">
        <f aca="false">IF(A162="","",IF(C162=C161,1,""))</f>
        <v/>
      </c>
      <c r="K162" s="0" t="str">
        <f aca="false">IF(I162=1,1,IF(J162=1,1,""))</f>
        <v/>
      </c>
      <c r="L162" s="0" t="str">
        <f aca="false">IFERROR(IF(AND(H161="",H162=""),"",IF(H162="TP1",1,IF(H162="TP3",15,IF(AND(A162="",L161=15),"",IF(H161="CAB",L161,L161+1))))),"")</f>
        <v/>
      </c>
      <c r="M162" s="0" t="str">
        <f aca="false">IF(A162="","",IF(H162="TP1","1"&amp;"_"&amp;C162,IF(H162="TP3","15"&amp;"_"&amp;C162,L162&amp;"_"&amp;D162)))</f>
        <v/>
      </c>
      <c r="N162" s="0" t="str">
        <f aca="false">E161&amp;IF(F162=1,"T","")</f>
        <v/>
      </c>
      <c r="O162" s="0" t="str">
        <f aca="false">IFERROR(((IF(L162=1,0,IF(L162=15,VARIÁVEIS!$B$34,((MID(C162,1,(SEARCH(".",C162,1)-1))&amp;","&amp;MID(C162,(SEARCH(".",C162,1)+1),1))&amp;"0")*1)))*1),"")</f>
        <v/>
      </c>
      <c r="P162" s="0" t="str">
        <f aca="false">(IFERROR(D162/32,""))</f>
        <v/>
      </c>
    </row>
    <row r="163" customFormat="false" ht="12.75" hidden="false" customHeight="false" outlineLevel="0" collapsed="false">
      <c r="A163" s="0" t="str">
        <f aca="false">IF('Leitura .bpp --&gt; .csv'!F207="","",'Leitura .bpp --&gt; .csv'!F207)</f>
        <v/>
      </c>
      <c r="B163" s="0" t="str">
        <f aca="false">IF('Leitura .bpp --&gt; .csv'!G207="","",'Leitura .bpp --&gt; .csv'!G207)</f>
        <v/>
      </c>
      <c r="C163" s="0" t="str">
        <f aca="false">IF('Leitura .bpp --&gt; .csv'!H207="","",'Leitura .bpp --&gt; .csv'!H207)</f>
        <v/>
      </c>
      <c r="D163" s="0" t="str">
        <f aca="false">IF('Leitura .bpp --&gt; .csv'!I207="","",'Leitura .bpp --&gt; .csv'!I207)</f>
        <v/>
      </c>
      <c r="E163" s="0" t="str">
        <f aca="false">IF('Leitura .bpp --&gt; .csv'!L207="","",'Leitura .bpp --&gt; .csv'!L207)</f>
        <v/>
      </c>
      <c r="F163" s="0" t="str">
        <f aca="false">IF('Leitura .bpp --&gt; .csv'!M207="","",'Leitura .bpp --&gt; .csv'!M207)</f>
        <v/>
      </c>
      <c r="G163" s="0" t="str">
        <f aca="false">IF('Leitura .bpp --&gt; .csv'!K207="","",'Leitura .bpp --&gt; .csv'!K207)</f>
        <v/>
      </c>
      <c r="H163" s="0" t="n">
        <f aca="false">IF(A163="",1,IF(A163=" 0 : 1","TP1",IF(A163=" 0 : 3","TP3","CAB")))</f>
        <v>1</v>
      </c>
      <c r="I163" s="0" t="str">
        <f aca="false">IF(A163="","",IF(C164=C163,1,""))</f>
        <v/>
      </c>
      <c r="J163" s="0" t="str">
        <f aca="false">IF(A163="","",IF(C163=C162,1,""))</f>
        <v/>
      </c>
      <c r="K163" s="0" t="str">
        <f aca="false">IF(I163=1,1,IF(J163=1,1,""))</f>
        <v/>
      </c>
      <c r="L163" s="0" t="str">
        <f aca="false">IFERROR(IF(AND(H162="",H163=""),"",IF(H163="TP1",1,IF(H163="TP3",15,IF(AND(A163="",L162=15),"",IF(H162="CAB",L162,L162+1))))),"")</f>
        <v/>
      </c>
      <c r="M163" s="0" t="str">
        <f aca="false">IF(A163="","",IF(H163="TP1","1"&amp;"_"&amp;C163,IF(H163="TP3","15"&amp;"_"&amp;C163,L163&amp;"_"&amp;D163)))</f>
        <v/>
      </c>
      <c r="N163" s="0" t="str">
        <f aca="false">E162&amp;IF(F163=1,"T","")</f>
        <v/>
      </c>
      <c r="O163" s="0" t="str">
        <f aca="false">IFERROR(((IF(L163=1,0,IF(L163=15,VARIÁVEIS!$B$34,((MID(C163,1,(SEARCH(".",C163,1)-1))&amp;","&amp;MID(C163,(SEARCH(".",C163,1)+1),1))&amp;"0")*1)))*1),"")</f>
        <v/>
      </c>
      <c r="P163" s="0" t="str">
        <f aca="false">(IFERROR(D163/32,""))</f>
        <v/>
      </c>
    </row>
    <row r="164" customFormat="false" ht="12.75" hidden="false" customHeight="false" outlineLevel="0" collapsed="false">
      <c r="A164" s="0" t="str">
        <f aca="false">IF('Leitura .bpp --&gt; .csv'!F208="","",'Leitura .bpp --&gt; .csv'!F208)</f>
        <v/>
      </c>
      <c r="B164" s="0" t="str">
        <f aca="false">IF('Leitura .bpp --&gt; .csv'!G208="","",'Leitura .bpp --&gt; .csv'!G208)</f>
        <v/>
      </c>
      <c r="C164" s="0" t="str">
        <f aca="false">IF('Leitura .bpp --&gt; .csv'!H208="","",'Leitura .bpp --&gt; .csv'!H208)</f>
        <v/>
      </c>
      <c r="D164" s="0" t="str">
        <f aca="false">IF('Leitura .bpp --&gt; .csv'!I208="","",'Leitura .bpp --&gt; .csv'!I208)</f>
        <v/>
      </c>
      <c r="E164" s="0" t="str">
        <f aca="false">IF('Leitura .bpp --&gt; .csv'!L208="","",'Leitura .bpp --&gt; .csv'!L208)</f>
        <v/>
      </c>
      <c r="F164" s="0" t="str">
        <f aca="false">IF('Leitura .bpp --&gt; .csv'!M208="","",'Leitura .bpp --&gt; .csv'!M208)</f>
        <v/>
      </c>
      <c r="G164" s="0" t="str">
        <f aca="false">IF('Leitura .bpp --&gt; .csv'!K208="","",'Leitura .bpp --&gt; .csv'!K208)</f>
        <v/>
      </c>
      <c r="H164" s="0" t="n">
        <f aca="false">IF(A164="",1,IF(A164=" 0 : 1","TP1",IF(A164=" 0 : 3","TP3","CAB")))</f>
        <v>1</v>
      </c>
      <c r="I164" s="0" t="str">
        <f aca="false">IF(A164="","",IF(C165=C164,1,""))</f>
        <v/>
      </c>
      <c r="J164" s="0" t="str">
        <f aca="false">IF(A164="","",IF(C164=C163,1,""))</f>
        <v/>
      </c>
      <c r="K164" s="0" t="str">
        <f aca="false">IF(I164=1,1,IF(J164=1,1,""))</f>
        <v/>
      </c>
      <c r="L164" s="0" t="str">
        <f aca="false">IFERROR(IF(AND(H163="",H164=""),"",IF(H164="TP1",1,IF(H164="TP3",15,IF(AND(A164="",L163=15),"",IF(H163="CAB",L163,L163+1))))),"")</f>
        <v/>
      </c>
      <c r="M164" s="0" t="str">
        <f aca="false">IF(A164="","",IF(H164="TP1","1"&amp;"_"&amp;C164,IF(H164="TP3","15"&amp;"_"&amp;C164,L164&amp;"_"&amp;D164)))</f>
        <v/>
      </c>
      <c r="N164" s="0" t="str">
        <f aca="false">E163&amp;IF(F164=1,"T","")</f>
        <v/>
      </c>
      <c r="O164" s="0" t="str">
        <f aca="false">IFERROR(((IF(L164=1,0,IF(L164=15,VARIÁVEIS!$B$34,((MID(C164,1,(SEARCH(".",C164,1)-1))&amp;","&amp;MID(C164,(SEARCH(".",C164,1)+1),1))&amp;"0")*1)))*1),"")</f>
        <v/>
      </c>
      <c r="P164" s="0" t="str">
        <f aca="false">(IFERROR(D164/32,""))</f>
        <v/>
      </c>
    </row>
    <row r="165" customFormat="false" ht="12.75" hidden="false" customHeight="false" outlineLevel="0" collapsed="false">
      <c r="A165" s="0" t="str">
        <f aca="false">IF('Leitura .bpp --&gt; .csv'!F209="","",'Leitura .bpp --&gt; .csv'!F209)</f>
        <v/>
      </c>
      <c r="B165" s="0" t="str">
        <f aca="false">IF('Leitura .bpp --&gt; .csv'!G209="","",'Leitura .bpp --&gt; .csv'!G209)</f>
        <v/>
      </c>
      <c r="C165" s="0" t="str">
        <f aca="false">IF('Leitura .bpp --&gt; .csv'!H209="","",'Leitura .bpp --&gt; .csv'!H209)</f>
        <v/>
      </c>
      <c r="D165" s="0" t="str">
        <f aca="false">IF('Leitura .bpp --&gt; .csv'!I209="","",'Leitura .bpp --&gt; .csv'!I209)</f>
        <v/>
      </c>
      <c r="E165" s="0" t="str">
        <f aca="false">IF('Leitura .bpp --&gt; .csv'!L209="","",'Leitura .bpp --&gt; .csv'!L209)</f>
        <v/>
      </c>
      <c r="F165" s="0" t="str">
        <f aca="false">IF('Leitura .bpp --&gt; .csv'!M209="","",'Leitura .bpp --&gt; .csv'!M209)</f>
        <v/>
      </c>
      <c r="G165" s="0" t="str">
        <f aca="false">IF('Leitura .bpp --&gt; .csv'!K209="","",'Leitura .bpp --&gt; .csv'!K209)</f>
        <v/>
      </c>
      <c r="H165" s="0" t="n">
        <f aca="false">IF(A165="",1,IF(A165=" 0 : 1","TP1",IF(A165=" 0 : 3","TP3","CAB")))</f>
        <v>1</v>
      </c>
      <c r="I165" s="0" t="str">
        <f aca="false">IF(A165="","",IF(C166=C165,1,""))</f>
        <v/>
      </c>
      <c r="J165" s="0" t="str">
        <f aca="false">IF(A165="","",IF(C165=C164,1,""))</f>
        <v/>
      </c>
      <c r="K165" s="0" t="str">
        <f aca="false">IF(I165=1,1,IF(J165=1,1,""))</f>
        <v/>
      </c>
      <c r="L165" s="0" t="str">
        <f aca="false">IFERROR(IF(AND(H164="",H165=""),"",IF(H165="TP1",1,IF(H165="TP3",15,IF(AND(A165="",L164=15),"",IF(H164="CAB",L164,L164+1))))),"")</f>
        <v/>
      </c>
      <c r="M165" s="0" t="str">
        <f aca="false">IF(A165="","",IF(H165="TP1","1"&amp;"_"&amp;C165,IF(H165="TP3","15"&amp;"_"&amp;C165,L165&amp;"_"&amp;D165)))</f>
        <v/>
      </c>
      <c r="N165" s="0" t="str">
        <f aca="false">E164&amp;IF(F165=1,"T","")</f>
        <v/>
      </c>
      <c r="O165" s="0" t="str">
        <f aca="false">IFERROR(((IF(L165=1,0,IF(L165=15,VARIÁVEIS!$B$34,((MID(C165,1,(SEARCH(".",C165,1)-1))&amp;","&amp;MID(C165,(SEARCH(".",C165,1)+1),1))&amp;"0")*1)))*1),"")</f>
        <v/>
      </c>
      <c r="P165" s="0" t="str">
        <f aca="false">(IFERROR(D165/32,""))</f>
        <v/>
      </c>
    </row>
    <row r="166" customFormat="false" ht="12.75" hidden="false" customHeight="false" outlineLevel="0" collapsed="false">
      <c r="A166" s="0" t="str">
        <f aca="false">IF('Leitura .bpp --&gt; .csv'!F210="","",'Leitura .bpp --&gt; .csv'!F210)</f>
        <v/>
      </c>
      <c r="B166" s="0" t="str">
        <f aca="false">IF('Leitura .bpp --&gt; .csv'!G210="","",'Leitura .bpp --&gt; .csv'!G210)</f>
        <v/>
      </c>
      <c r="C166" s="0" t="str">
        <f aca="false">IF('Leitura .bpp --&gt; .csv'!H210="","",'Leitura .bpp --&gt; .csv'!H210)</f>
        <v/>
      </c>
      <c r="D166" s="0" t="str">
        <f aca="false">IF('Leitura .bpp --&gt; .csv'!I210="","",'Leitura .bpp --&gt; .csv'!I210)</f>
        <v/>
      </c>
      <c r="E166" s="0" t="str">
        <f aca="false">IF('Leitura .bpp --&gt; .csv'!L210="","",'Leitura .bpp --&gt; .csv'!L210)</f>
        <v/>
      </c>
      <c r="F166" s="0" t="str">
        <f aca="false">IF('Leitura .bpp --&gt; .csv'!M210="","",'Leitura .bpp --&gt; .csv'!M210)</f>
        <v/>
      </c>
      <c r="G166" s="0" t="str">
        <f aca="false">IF('Leitura .bpp --&gt; .csv'!K210="","",'Leitura .bpp --&gt; .csv'!K210)</f>
        <v/>
      </c>
      <c r="H166" s="0" t="n">
        <f aca="false">IF(A166="",1,IF(A166=" 0 : 1","TP1",IF(A166=" 0 : 3","TP3","CAB")))</f>
        <v>1</v>
      </c>
      <c r="I166" s="0" t="str">
        <f aca="false">IF(A166="","",IF(C167=C166,1,""))</f>
        <v/>
      </c>
      <c r="J166" s="0" t="str">
        <f aca="false">IF(A166="","",IF(C166=C165,1,""))</f>
        <v/>
      </c>
      <c r="K166" s="0" t="str">
        <f aca="false">IF(I166=1,1,IF(J166=1,1,""))</f>
        <v/>
      </c>
      <c r="L166" s="0" t="str">
        <f aca="false">IFERROR(IF(AND(H165="",H166=""),"",IF(H166="TP1",1,IF(H166="TP3",15,IF(AND(A166="",L165=15),"",IF(H165="CAB",L165,L165+1))))),"")</f>
        <v/>
      </c>
      <c r="M166" s="0" t="str">
        <f aca="false">IF(A166="","",IF(H166="TP1","1"&amp;"_"&amp;C166,IF(H166="TP3","15"&amp;"_"&amp;C166,L166&amp;"_"&amp;D166)))</f>
        <v/>
      </c>
      <c r="N166" s="0" t="str">
        <f aca="false">E165&amp;IF(F166=1,"T","")</f>
        <v/>
      </c>
      <c r="O166" s="0" t="str">
        <f aca="false">IFERROR(((IF(L166=1,0,IF(L166=15,VARIÁVEIS!$B$34,((MID(C166,1,(SEARCH(".",C166,1)-1))&amp;","&amp;MID(C166,(SEARCH(".",C166,1)+1),1))&amp;"0")*1)))*1),"")</f>
        <v/>
      </c>
      <c r="P166" s="0" t="str">
        <f aca="false">(IFERROR(D166/32,""))</f>
        <v/>
      </c>
    </row>
    <row r="167" customFormat="false" ht="12.75" hidden="false" customHeight="false" outlineLevel="0" collapsed="false">
      <c r="A167" s="0" t="str">
        <f aca="false">IF('Leitura .bpp --&gt; .csv'!F211="","",'Leitura .bpp --&gt; .csv'!F211)</f>
        <v/>
      </c>
      <c r="B167" s="0" t="str">
        <f aca="false">IF('Leitura .bpp --&gt; .csv'!G211="","",'Leitura .bpp --&gt; .csv'!G211)</f>
        <v/>
      </c>
      <c r="C167" s="0" t="str">
        <f aca="false">IF('Leitura .bpp --&gt; .csv'!H211="","",'Leitura .bpp --&gt; .csv'!H211)</f>
        <v/>
      </c>
      <c r="D167" s="0" t="str">
        <f aca="false">IF('Leitura .bpp --&gt; .csv'!I211="","",'Leitura .bpp --&gt; .csv'!I211)</f>
        <v/>
      </c>
      <c r="E167" s="0" t="str">
        <f aca="false">IF('Leitura .bpp --&gt; .csv'!L211="","",'Leitura .bpp --&gt; .csv'!L211)</f>
        <v/>
      </c>
      <c r="F167" s="0" t="str">
        <f aca="false">IF('Leitura .bpp --&gt; .csv'!M211="","",'Leitura .bpp --&gt; .csv'!M211)</f>
        <v/>
      </c>
      <c r="G167" s="0" t="str">
        <f aca="false">IF('Leitura .bpp --&gt; .csv'!K211="","",'Leitura .bpp --&gt; .csv'!K211)</f>
        <v/>
      </c>
      <c r="H167" s="0" t="n">
        <f aca="false">IF(A167="",1,IF(A167=" 0 : 1","TP1",IF(A167=" 0 : 3","TP3","CAB")))</f>
        <v>1</v>
      </c>
      <c r="I167" s="0" t="str">
        <f aca="false">IF(A167="","",IF(C168=C167,1,""))</f>
        <v/>
      </c>
      <c r="J167" s="0" t="str">
        <f aca="false">IF(A167="","",IF(C167=C166,1,""))</f>
        <v/>
      </c>
      <c r="K167" s="0" t="str">
        <f aca="false">IF(I167=1,1,IF(J167=1,1,""))</f>
        <v/>
      </c>
      <c r="L167" s="0" t="str">
        <f aca="false">IFERROR(IF(AND(H166="",H167=""),"",IF(H167="TP1",1,IF(H167="TP3",15,IF(AND(A167="",L166=15),"",IF(H166="CAB",L166,L166+1))))),"")</f>
        <v/>
      </c>
      <c r="M167" s="0" t="str">
        <f aca="false">IF(A167="","",IF(H167="TP1","1"&amp;"_"&amp;C167,IF(H167="TP3","15"&amp;"_"&amp;C167,L167&amp;"_"&amp;D167)))</f>
        <v/>
      </c>
      <c r="N167" s="0" t="str">
        <f aca="false">E166&amp;IF(F167=1,"T","")</f>
        <v/>
      </c>
      <c r="O167" s="0" t="str">
        <f aca="false">IFERROR(((IF(L167=1,0,IF(L167=15,VARIÁVEIS!$B$34,((MID(C167,1,(SEARCH(".",C167,1)-1))&amp;","&amp;MID(C167,(SEARCH(".",C167,1)+1),1))&amp;"0")*1)))*1),"")</f>
        <v/>
      </c>
      <c r="P167" s="0" t="str">
        <f aca="false">(IFERROR(D167/32,""))</f>
        <v/>
      </c>
    </row>
    <row r="168" customFormat="false" ht="12.75" hidden="false" customHeight="false" outlineLevel="0" collapsed="false">
      <c r="A168" s="0" t="str">
        <f aca="false">IF('Leitura .bpp --&gt; .csv'!F212="","",'Leitura .bpp --&gt; .csv'!F212)</f>
        <v/>
      </c>
      <c r="B168" s="0" t="str">
        <f aca="false">IF('Leitura .bpp --&gt; .csv'!G212="","",'Leitura .bpp --&gt; .csv'!G212)</f>
        <v/>
      </c>
      <c r="C168" s="0" t="str">
        <f aca="false">IF('Leitura .bpp --&gt; .csv'!H212="","",'Leitura .bpp --&gt; .csv'!H212)</f>
        <v/>
      </c>
      <c r="D168" s="0" t="str">
        <f aca="false">IF('Leitura .bpp --&gt; .csv'!I212="","",'Leitura .bpp --&gt; .csv'!I212)</f>
        <v/>
      </c>
      <c r="E168" s="0" t="str">
        <f aca="false">IF('Leitura .bpp --&gt; .csv'!L212="","",'Leitura .bpp --&gt; .csv'!L212)</f>
        <v/>
      </c>
      <c r="F168" s="0" t="str">
        <f aca="false">IF('Leitura .bpp --&gt; .csv'!M212="","",'Leitura .bpp --&gt; .csv'!M212)</f>
        <v/>
      </c>
      <c r="G168" s="0" t="str">
        <f aca="false">IF('Leitura .bpp --&gt; .csv'!K212="","",'Leitura .bpp --&gt; .csv'!K212)</f>
        <v/>
      </c>
      <c r="H168" s="0" t="n">
        <f aca="false">IF(A168="",1,IF(A168=" 0 : 1","TP1",IF(A168=" 0 : 3","TP3","CAB")))</f>
        <v>1</v>
      </c>
      <c r="I168" s="0" t="str">
        <f aca="false">IF(A168="","",IF(C169=C168,1,""))</f>
        <v/>
      </c>
      <c r="J168" s="0" t="str">
        <f aca="false">IF(A168="","",IF(C168=C167,1,""))</f>
        <v/>
      </c>
      <c r="K168" s="0" t="str">
        <f aca="false">IF(I168=1,1,IF(J168=1,1,""))</f>
        <v/>
      </c>
      <c r="L168" s="0" t="str">
        <f aca="false">IFERROR(IF(AND(H167="",H168=""),"",IF(H168="TP1",1,IF(H168="TP3",15,IF(AND(A168="",L167=15),"",IF(H167="CAB",L167,L167+1))))),"")</f>
        <v/>
      </c>
      <c r="M168" s="0" t="str">
        <f aca="false">IF(A168="","",IF(H168="TP1","1"&amp;"_"&amp;C168,IF(H168="TP3","15"&amp;"_"&amp;C168,L168&amp;"_"&amp;D168)))</f>
        <v/>
      </c>
      <c r="N168" s="0" t="str">
        <f aca="false">E167&amp;IF(F168=1,"T","")</f>
        <v/>
      </c>
      <c r="O168" s="0" t="str">
        <f aca="false">IFERROR(((IF(L168=1,0,IF(L168=15,VARIÁVEIS!$B$34,((MID(C168,1,(SEARCH(".",C168,1)-1))&amp;","&amp;MID(C168,(SEARCH(".",C168,1)+1),1))&amp;"0")*1)))*1),"")</f>
        <v/>
      </c>
      <c r="P168" s="0" t="str">
        <f aca="false">(IFERROR(D168/32,""))</f>
        <v/>
      </c>
    </row>
    <row r="169" customFormat="false" ht="12.75" hidden="false" customHeight="false" outlineLevel="0" collapsed="false">
      <c r="A169" s="0" t="str">
        <f aca="false">IF('Leitura .bpp --&gt; .csv'!F213="","",'Leitura .bpp --&gt; .csv'!F213)</f>
        <v/>
      </c>
      <c r="B169" s="0" t="str">
        <f aca="false">IF('Leitura .bpp --&gt; .csv'!G213="","",'Leitura .bpp --&gt; .csv'!G213)</f>
        <v/>
      </c>
      <c r="C169" s="0" t="str">
        <f aca="false">IF('Leitura .bpp --&gt; .csv'!H213="","",'Leitura .bpp --&gt; .csv'!H213)</f>
        <v/>
      </c>
      <c r="D169" s="0" t="str">
        <f aca="false">IF('Leitura .bpp --&gt; .csv'!I213="","",'Leitura .bpp --&gt; .csv'!I213)</f>
        <v/>
      </c>
      <c r="E169" s="0" t="str">
        <f aca="false">IF('Leitura .bpp --&gt; .csv'!L213="","",'Leitura .bpp --&gt; .csv'!L213)</f>
        <v/>
      </c>
      <c r="F169" s="0" t="str">
        <f aca="false">IF('Leitura .bpp --&gt; .csv'!M213="","",'Leitura .bpp --&gt; .csv'!M213)</f>
        <v/>
      </c>
      <c r="G169" s="0" t="str">
        <f aca="false">IF('Leitura .bpp --&gt; .csv'!K213="","",'Leitura .bpp --&gt; .csv'!K213)</f>
        <v/>
      </c>
      <c r="H169" s="0" t="n">
        <f aca="false">IF(A169="",1,IF(A169=" 0 : 1","TP1",IF(A169=" 0 : 3","TP3","CAB")))</f>
        <v>1</v>
      </c>
      <c r="I169" s="0" t="str">
        <f aca="false">IF(A169="","",IF(C170=C169,1,""))</f>
        <v/>
      </c>
      <c r="J169" s="0" t="str">
        <f aca="false">IF(A169="","",IF(C169=C168,1,""))</f>
        <v/>
      </c>
      <c r="K169" s="0" t="str">
        <f aca="false">IF(I169=1,1,IF(J169=1,1,""))</f>
        <v/>
      </c>
      <c r="L169" s="0" t="str">
        <f aca="false">IFERROR(IF(AND(H168="",H169=""),"",IF(H169="TP1",1,IF(H169="TP3",15,IF(AND(A169="",L168=15),"",IF(H168="CAB",L168,L168+1))))),"")</f>
        <v/>
      </c>
      <c r="M169" s="0" t="str">
        <f aca="false">IF(A169="","",IF(H169="TP1","1"&amp;"_"&amp;C169,IF(H169="TP3","15"&amp;"_"&amp;C169,L169&amp;"_"&amp;D169)))</f>
        <v/>
      </c>
      <c r="N169" s="0" t="str">
        <f aca="false">E168&amp;IF(F169=1,"T","")</f>
        <v/>
      </c>
      <c r="O169" s="0" t="str">
        <f aca="false">IFERROR(((IF(L169=1,0,IF(L169=15,VARIÁVEIS!$B$34,((MID(C169,1,(SEARCH(".",C169,1)-1))&amp;","&amp;MID(C169,(SEARCH(".",C169,1)+1),1))&amp;"0")*1)))*1),"")</f>
        <v/>
      </c>
      <c r="P169" s="0" t="str">
        <f aca="false">(IFERROR(D169/32,""))</f>
        <v/>
      </c>
    </row>
    <row r="170" customFormat="false" ht="12.75" hidden="false" customHeight="false" outlineLevel="0" collapsed="false">
      <c r="A170" s="0" t="str">
        <f aca="false">IF('Leitura .bpp --&gt; .csv'!F214="","",'Leitura .bpp --&gt; .csv'!F214)</f>
        <v/>
      </c>
      <c r="B170" s="0" t="str">
        <f aca="false">IF('Leitura .bpp --&gt; .csv'!G214="","",'Leitura .bpp --&gt; .csv'!G214)</f>
        <v/>
      </c>
      <c r="C170" s="0" t="str">
        <f aca="false">IF('Leitura .bpp --&gt; .csv'!H214="","",'Leitura .bpp --&gt; .csv'!H214)</f>
        <v/>
      </c>
      <c r="D170" s="0" t="str">
        <f aca="false">IF('Leitura .bpp --&gt; .csv'!I214="","",'Leitura .bpp --&gt; .csv'!I214)</f>
        <v/>
      </c>
      <c r="E170" s="0" t="str">
        <f aca="false">IF('Leitura .bpp --&gt; .csv'!L214="","",'Leitura .bpp --&gt; .csv'!L214)</f>
        <v/>
      </c>
      <c r="F170" s="0" t="str">
        <f aca="false">IF('Leitura .bpp --&gt; .csv'!M214="","",'Leitura .bpp --&gt; .csv'!M214)</f>
        <v/>
      </c>
      <c r="G170" s="0" t="str">
        <f aca="false">IF('Leitura .bpp --&gt; .csv'!K214="","",'Leitura .bpp --&gt; .csv'!K214)</f>
        <v/>
      </c>
      <c r="H170" s="0" t="n">
        <f aca="false">IF(A170="",1,IF(A170=" 0 : 1","TP1",IF(A170=" 0 : 3","TP3","CAB")))</f>
        <v>1</v>
      </c>
      <c r="I170" s="0" t="str">
        <f aca="false">IF(A170="","",IF(C171=C170,1,""))</f>
        <v/>
      </c>
      <c r="J170" s="0" t="str">
        <f aca="false">IF(A170="","",IF(C170=C169,1,""))</f>
        <v/>
      </c>
      <c r="K170" s="0" t="str">
        <f aca="false">IF(I170=1,1,IF(J170=1,1,""))</f>
        <v/>
      </c>
      <c r="L170" s="0" t="str">
        <f aca="false">IFERROR(IF(AND(H169="",H170=""),"",IF(H170="TP1",1,IF(H170="TP3",15,IF(AND(A170="",L169=15),"",IF(H169="CAB",L169,L169+1))))),"")</f>
        <v/>
      </c>
      <c r="M170" s="0" t="str">
        <f aca="false">IF(A170="","",IF(H170="TP1","1"&amp;"_"&amp;C170,IF(H170="TP3","15"&amp;"_"&amp;C170,L170&amp;"_"&amp;D170)))</f>
        <v/>
      </c>
      <c r="N170" s="0" t="str">
        <f aca="false">E169&amp;IF(F170=1,"T","")</f>
        <v/>
      </c>
      <c r="O170" s="0" t="str">
        <f aca="false">IFERROR(((IF(L170=1,0,IF(L170=15,VARIÁVEIS!$B$34,((MID(C170,1,(SEARCH(".",C170,1)-1))&amp;","&amp;MID(C170,(SEARCH(".",C170,1)+1),1))&amp;"0")*1)))*1),"")</f>
        <v/>
      </c>
      <c r="P170" s="0" t="str">
        <f aca="false">(IFERROR(D170/32,""))</f>
        <v/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V71"/>
  <sheetViews>
    <sheetView showFormulas="false" showGridLines="true" showRowColHeaders="true" showZeros="true" rightToLeft="false" tabSelected="false" showOutlineSymbols="true" defaultGridColor="true" view="normal" topLeftCell="A10" colorId="64" zoomScale="100" zoomScaleNormal="100" zoomScalePageLayoutView="100" workbookViewId="0">
      <selection pane="topLeft" activeCell="G25" activeCellId="0" sqref="G25"/>
    </sheetView>
  </sheetViews>
  <sheetFormatPr defaultRowHeight="12.75" zeroHeight="false" outlineLevelRow="0" outlineLevelCol="0"/>
  <cols>
    <col collapsed="false" customWidth="true" hidden="false" outlineLevel="0" max="3" min="1" style="0" width="16"/>
    <col collapsed="false" customWidth="true" hidden="false" outlineLevel="0" max="1025" min="4" style="0" width="8.67"/>
  </cols>
  <sheetData>
    <row r="1" customFormat="false" ht="12.75" hidden="false" customHeight="false" outlineLevel="0" collapsed="false">
      <c r="D1" s="13" t="s">
        <v>100</v>
      </c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</row>
    <row r="2" customFormat="false" ht="12.75" hidden="false" customHeight="false" outlineLevel="0" collapsed="false">
      <c r="C2" s="25"/>
      <c r="D2" s="26" t="n">
        <v>1</v>
      </c>
      <c r="E2" s="26" t="n">
        <v>2</v>
      </c>
      <c r="F2" s="26" t="n">
        <v>3</v>
      </c>
      <c r="G2" s="26" t="n">
        <v>4</v>
      </c>
      <c r="H2" s="26" t="n">
        <v>5</v>
      </c>
      <c r="I2" s="26" t="n">
        <v>6</v>
      </c>
      <c r="J2" s="26" t="n">
        <v>7</v>
      </c>
      <c r="K2" s="26" t="n">
        <v>8</v>
      </c>
      <c r="L2" s="26" t="n">
        <v>9</v>
      </c>
      <c r="M2" s="26" t="n">
        <v>10</v>
      </c>
      <c r="N2" s="26" t="n">
        <v>11</v>
      </c>
      <c r="O2" s="26" t="n">
        <v>12</v>
      </c>
      <c r="P2" s="26" t="n">
        <v>13</v>
      </c>
      <c r="Q2" s="26" t="n">
        <v>14</v>
      </c>
      <c r="R2" s="26" t="n">
        <v>15</v>
      </c>
      <c r="S2" s="10" t="n">
        <v>16</v>
      </c>
      <c r="T2" s="10" t="n">
        <v>17</v>
      </c>
      <c r="U2" s="10" t="n">
        <v>18</v>
      </c>
      <c r="V2" s="10" t="n">
        <v>19</v>
      </c>
    </row>
    <row r="3" customFormat="false" ht="12.75" hidden="false" customHeight="false" outlineLevel="0" collapsed="false">
      <c r="A3" s="0" t="s">
        <v>101</v>
      </c>
      <c r="B3" s="0" t="s">
        <v>102</v>
      </c>
      <c r="C3" s="25" t="n">
        <v>0</v>
      </c>
      <c r="D3" s="27" t="s">
        <v>103</v>
      </c>
      <c r="E3" s="28" t="str">
        <f aca="false">"INF"&amp;"_"&amp;E2</f>
        <v>INF_2</v>
      </c>
      <c r="F3" s="28" t="str">
        <f aca="false">"INF"&amp;"_"&amp;F2</f>
        <v>INF_3</v>
      </c>
      <c r="G3" s="28" t="str">
        <f aca="false">"INF"&amp;"_"&amp;G2</f>
        <v>INF_4</v>
      </c>
      <c r="H3" s="28" t="str">
        <f aca="false">"INF"&amp;"_"&amp;H2</f>
        <v>INF_5</v>
      </c>
      <c r="I3" s="28" t="str">
        <f aca="false">"INF"&amp;"_"&amp;I2</f>
        <v>INF_6</v>
      </c>
      <c r="J3" s="28" t="str">
        <f aca="false">"INF"&amp;"_"&amp;J2</f>
        <v>INF_7</v>
      </c>
      <c r="K3" s="28" t="str">
        <f aca="false">"INF"&amp;"_"&amp;K2</f>
        <v>INF_8</v>
      </c>
      <c r="L3" s="28" t="str">
        <f aca="false">"INF"&amp;"_"&amp;L2</f>
        <v>INF_9</v>
      </c>
      <c r="M3" s="29" t="str">
        <f aca="false">"SUP"&amp;"_"&amp;M2</f>
        <v>SUP_10</v>
      </c>
      <c r="N3" s="29" t="str">
        <f aca="false">"SUP"&amp;"_"&amp;N2</f>
        <v>SUP_11</v>
      </c>
      <c r="O3" s="29" t="str">
        <f aca="false">"SUP"&amp;"_"&amp;O2</f>
        <v>SUP_12</v>
      </c>
      <c r="P3" s="29" t="str">
        <f aca="false">"SUP"&amp;"_"&amp;P2</f>
        <v>SUP_13</v>
      </c>
      <c r="Q3" s="29" t="str">
        <f aca="false">"SUP"&amp;"_"&amp;Q2</f>
        <v>SUP_14</v>
      </c>
      <c r="R3" s="27" t="s">
        <v>104</v>
      </c>
      <c r="S3" s="30" t="s">
        <v>105</v>
      </c>
      <c r="T3" s="30" t="s">
        <v>106</v>
      </c>
      <c r="U3" s="30" t="s">
        <v>107</v>
      </c>
      <c r="V3" s="30" t="s">
        <v>108</v>
      </c>
    </row>
    <row r="4" customFormat="false" ht="12.75" hidden="false" customHeight="false" outlineLevel="0" collapsed="false">
      <c r="A4" s="0" t="n">
        <v>1</v>
      </c>
      <c r="B4" s="0" t="n">
        <v>32</v>
      </c>
      <c r="C4" s="25" t="n">
        <f aca="false">B4-$C$3</f>
        <v>32</v>
      </c>
      <c r="D4" s="31" t="str">
        <f aca="false">IFERROR(VLOOKUP(D51,'Dados extraidos'!$M$3:$N$100,2,),"")</f>
        <v>6</v>
      </c>
      <c r="E4" s="31" t="str">
        <f aca="false">IFERROR(VLOOKUP(E51,'Dados extraidos'!$M$3:$N$100,2,),"")</f>
        <v/>
      </c>
      <c r="F4" s="31" t="str">
        <f aca="false">IFERROR(VLOOKUP(F51,'Dados extraidos'!$M$3:$N$100,2,),"")</f>
        <v>6</v>
      </c>
      <c r="G4" s="31" t="str">
        <f aca="false">IFERROR(VLOOKUP(G51,'Dados extraidos'!$M$3:$N$100,2,),"")</f>
        <v>6</v>
      </c>
      <c r="H4" s="31" t="str">
        <f aca="false">IFERROR(VLOOKUP(H51,'Dados extraidos'!$M$3:$N$100,2,),"")</f>
        <v/>
      </c>
      <c r="I4" s="31" t="str">
        <f aca="false">IFERROR(VLOOKUP(I51,'Dados extraidos'!$M$3:$N$100,2,),"")</f>
        <v/>
      </c>
      <c r="J4" s="31" t="str">
        <f aca="false">IFERROR(VLOOKUP(J51,'Dados extraidos'!$M$3:$N$100,2,),"")</f>
        <v/>
      </c>
      <c r="K4" s="31" t="str">
        <f aca="false">IFERROR(VLOOKUP(K51,'Dados extraidos'!$M$3:$N$100,2,),"")</f>
        <v/>
      </c>
      <c r="L4" s="31" t="str">
        <f aca="false">IFERROR(VLOOKUP(L51,'Dados extraidos'!$M$3:$N$100,2,),"")</f>
        <v/>
      </c>
      <c r="M4" s="31" t="str">
        <f aca="false">IFERROR(VLOOKUP(M51,'Dados extraidos'!$M$3:$N$100,2,),"")</f>
        <v/>
      </c>
      <c r="N4" s="31" t="str">
        <f aca="false">IFERROR(VLOOKUP(N51,'Dados extraidos'!$M$3:$N$100,2,),"")</f>
        <v/>
      </c>
      <c r="O4" s="31" t="str">
        <f aca="false">IFERROR(VLOOKUP(O51,'Dados extraidos'!$M$3:$N$100,2,),"")</f>
        <v/>
      </c>
      <c r="P4" s="31" t="str">
        <f aca="false">IFERROR(VLOOKUP(P51,'Dados extraidos'!$M$3:$N$100,2,),"")</f>
        <v/>
      </c>
      <c r="Q4" s="31" t="str">
        <f aca="false">IFERROR(VLOOKUP(Q51,'Dados extraidos'!$M$3:$N$100,2,),"")</f>
        <v/>
      </c>
      <c r="R4" s="31" t="str">
        <f aca="false">IFERROR(VLOOKUP(R51,'Dados extraidos'!$M$3:$N$100,2,),"")</f>
        <v>6</v>
      </c>
      <c r="S4" s="32"/>
      <c r="T4" s="32"/>
      <c r="U4" s="32"/>
      <c r="V4" s="32"/>
    </row>
    <row r="5" customFormat="false" ht="12.75" hidden="false" customHeight="false" outlineLevel="0" collapsed="false">
      <c r="A5" s="0" t="n">
        <v>2</v>
      </c>
      <c r="B5" s="0" t="n">
        <f aca="false">B4+32</f>
        <v>64</v>
      </c>
      <c r="C5" s="25" t="n">
        <f aca="false">B5-$C$3</f>
        <v>64</v>
      </c>
      <c r="D5" s="26" t="str">
        <f aca="false">IFERROR(VLOOKUP(D52,'Dados extraidos'!$M$3:$N$100,2,),"")</f>
        <v> 3.5</v>
      </c>
      <c r="E5" s="26" t="str">
        <f aca="false">IFERROR(VLOOKUP(E52,'Dados extraidos'!$M$3:$N$100,2,),"")</f>
        <v/>
      </c>
      <c r="F5" s="26" t="str">
        <f aca="false">IFERROR(VLOOKUP(F52,'Dados extraidos'!$M$3:$N$100,2,),"")</f>
        <v>5T</v>
      </c>
      <c r="G5" s="26" t="str">
        <f aca="false">IFERROR(VLOOKUP(G52,'Dados extraidos'!$M$3:$N$100,2,),"")</f>
        <v>5T</v>
      </c>
      <c r="H5" s="26" t="str">
        <f aca="false">IFERROR(VLOOKUP(H52,'Dados extraidos'!$M$3:$N$100,2,),"")</f>
        <v/>
      </c>
      <c r="I5" s="26" t="str">
        <f aca="false">IFERROR(VLOOKUP(I52,'Dados extraidos'!$M$3:$N$100,2,),"")</f>
        <v/>
      </c>
      <c r="J5" s="26" t="str">
        <f aca="false">IFERROR(VLOOKUP(J52,'Dados extraidos'!$M$3:$N$100,2,),"")</f>
        <v/>
      </c>
      <c r="K5" s="26" t="str">
        <f aca="false">IFERROR(VLOOKUP(K52,'Dados extraidos'!$M$3:$N$100,2,),"")</f>
        <v/>
      </c>
      <c r="L5" s="26" t="str">
        <f aca="false">IFERROR(VLOOKUP(L52,'Dados extraidos'!$M$3:$N$100,2,),"")</f>
        <v/>
      </c>
      <c r="M5" s="26" t="str">
        <f aca="false">IFERROR(VLOOKUP(M52,'Dados extraidos'!$M$3:$N$100,2,),"")</f>
        <v/>
      </c>
      <c r="N5" s="26" t="str">
        <f aca="false">IFERROR(VLOOKUP(N52,'Dados extraidos'!$M$3:$N$100,2,),"")</f>
        <v/>
      </c>
      <c r="O5" s="26" t="str">
        <f aca="false">IFERROR(VLOOKUP(O52,'Dados extraidos'!$M$3:$N$100,2,),"")</f>
        <v/>
      </c>
      <c r="P5" s="26" t="str">
        <f aca="false">IFERROR(VLOOKUP(P52,'Dados extraidos'!$M$3:$N$100,2,),"")</f>
        <v/>
      </c>
      <c r="Q5" s="26" t="str">
        <f aca="false">IFERROR(VLOOKUP(Q52,'Dados extraidos'!$M$3:$N$100,2,),"")</f>
        <v/>
      </c>
      <c r="R5" s="26" t="str">
        <f aca="false">IFERROR(VLOOKUP(R52,'Dados extraidos'!$M$3:$N$100,2,),"")</f>
        <v> 3.5</v>
      </c>
      <c r="S5" s="10"/>
      <c r="T5" s="10"/>
      <c r="U5" s="10"/>
      <c r="V5" s="10"/>
    </row>
    <row r="6" customFormat="false" ht="12.75" hidden="false" customHeight="false" outlineLevel="0" collapsed="false">
      <c r="A6" s="0" t="n">
        <v>3</v>
      </c>
      <c r="B6" s="0" t="n">
        <f aca="false">B5+32</f>
        <v>96</v>
      </c>
      <c r="C6" s="25" t="n">
        <f aca="false">B6-$C$3</f>
        <v>96</v>
      </c>
      <c r="D6" s="31" t="str">
        <f aca="false">IFERROR(VLOOKUP(D53,'Dados extraidos'!$M$3:$N$100,2,),"")</f>
        <v/>
      </c>
      <c r="E6" s="31" t="str">
        <f aca="false">IFERROR(VLOOKUP(E53,'Dados extraidos'!$M$3:$N$100,2,),"")</f>
        <v/>
      </c>
      <c r="F6" s="31" t="str">
        <f aca="false">IFERROR(VLOOKUP(F53,'Dados extraidos'!$M$3:$N$100,2,),"")</f>
        <v/>
      </c>
      <c r="G6" s="31" t="str">
        <f aca="false">IFERROR(VLOOKUP(G53,'Dados extraidos'!$M$3:$N$100,2,),"")</f>
        <v/>
      </c>
      <c r="H6" s="31" t="str">
        <f aca="false">IFERROR(VLOOKUP(H53,'Dados extraidos'!$M$3:$N$100,2,),"")</f>
        <v/>
      </c>
      <c r="I6" s="31" t="str">
        <f aca="false">IFERROR(VLOOKUP(I53,'Dados extraidos'!$M$3:$N$100,2,),"")</f>
        <v/>
      </c>
      <c r="J6" s="31" t="str">
        <f aca="false">IFERROR(VLOOKUP(J53,'Dados extraidos'!$M$3:$N$100,2,),"")</f>
        <v/>
      </c>
      <c r="K6" s="31" t="str">
        <f aca="false">IFERROR(VLOOKUP(K53,'Dados extraidos'!$M$3:$N$100,2,),"")</f>
        <v/>
      </c>
      <c r="L6" s="31" t="str">
        <f aca="false">IFERROR(VLOOKUP(L53,'Dados extraidos'!$M$3:$N$100,2,),"")</f>
        <v/>
      </c>
      <c r="M6" s="31" t="str">
        <f aca="false">IFERROR(VLOOKUP(M53,'Dados extraidos'!$M$3:$N$100,2,),"")</f>
        <v/>
      </c>
      <c r="N6" s="31" t="str">
        <f aca="false">IFERROR(VLOOKUP(N53,'Dados extraidos'!$M$3:$N$100,2,),"")</f>
        <v/>
      </c>
      <c r="O6" s="31" t="str">
        <f aca="false">IFERROR(VLOOKUP(O53,'Dados extraidos'!$M$3:$N$100,2,),"")</f>
        <v/>
      </c>
      <c r="P6" s="31" t="str">
        <f aca="false">IFERROR(VLOOKUP(P53,'Dados extraidos'!$M$3:$N$100,2,),"")</f>
        <v/>
      </c>
      <c r="Q6" s="31" t="str">
        <f aca="false">IFERROR(VLOOKUP(Q53,'Dados extraidos'!$M$3:$N$100,2,),"")</f>
        <v/>
      </c>
      <c r="R6" s="31" t="str">
        <f aca="false">IFERROR(VLOOKUP(R53,'Dados extraidos'!$M$3:$N$100,2,),"")</f>
        <v/>
      </c>
      <c r="S6" s="32"/>
      <c r="T6" s="32"/>
      <c r="U6" s="32"/>
      <c r="V6" s="32"/>
    </row>
    <row r="7" customFormat="false" ht="12.75" hidden="false" customHeight="false" outlineLevel="0" collapsed="false">
      <c r="A7" s="0" t="n">
        <v>4</v>
      </c>
      <c r="B7" s="0" t="n">
        <f aca="false">B6+32</f>
        <v>128</v>
      </c>
      <c r="C7" s="25" t="n">
        <f aca="false">B7-$C$3</f>
        <v>128</v>
      </c>
      <c r="D7" s="26" t="str">
        <f aca="false">IFERROR(VLOOKUP(D54,'Dados extraidos'!$M$3:$N$100,2,),"")</f>
        <v/>
      </c>
      <c r="E7" s="26" t="str">
        <f aca="false">IFERROR(VLOOKUP(E54,'Dados extraidos'!$M$3:$N$100,2,),"")</f>
        <v/>
      </c>
      <c r="F7" s="26" t="str">
        <f aca="false">IFERROR(VLOOKUP(F54,'Dados extraidos'!$M$3:$N$100,2,),"")</f>
        <v/>
      </c>
      <c r="G7" s="26" t="str">
        <f aca="false">IFERROR(VLOOKUP(G54,'Dados extraidos'!$M$3:$N$100,2,),"")</f>
        <v/>
      </c>
      <c r="H7" s="26" t="str">
        <f aca="false">IFERROR(VLOOKUP(H54,'Dados extraidos'!$M$3:$N$100,2,),"")</f>
        <v/>
      </c>
      <c r="I7" s="26" t="str">
        <f aca="false">IFERROR(VLOOKUP(I54,'Dados extraidos'!$M$3:$N$100,2,),"")</f>
        <v/>
      </c>
      <c r="J7" s="26" t="str">
        <f aca="false">IFERROR(VLOOKUP(J54,'Dados extraidos'!$M$3:$N$100,2,),"")</f>
        <v/>
      </c>
      <c r="K7" s="26" t="str">
        <f aca="false">IFERROR(VLOOKUP(K54,'Dados extraidos'!$M$3:$N$100,2,),"")</f>
        <v/>
      </c>
      <c r="L7" s="26" t="str">
        <f aca="false">IFERROR(VLOOKUP(L54,'Dados extraidos'!$M$3:$N$100,2,),"")</f>
        <v/>
      </c>
      <c r="M7" s="26" t="str">
        <f aca="false">IFERROR(VLOOKUP(M54,'Dados extraidos'!$M$3:$N$100,2,),"")</f>
        <v/>
      </c>
      <c r="N7" s="26" t="str">
        <f aca="false">IFERROR(VLOOKUP(N54,'Dados extraidos'!$M$3:$N$100,2,),"")</f>
        <v/>
      </c>
      <c r="O7" s="26" t="str">
        <f aca="false">IFERROR(VLOOKUP(O54,'Dados extraidos'!$M$3:$N$100,2,),"")</f>
        <v/>
      </c>
      <c r="P7" s="26" t="str">
        <f aca="false">IFERROR(VLOOKUP(P54,'Dados extraidos'!$M$3:$N$100,2,),"")</f>
        <v/>
      </c>
      <c r="Q7" s="26" t="str">
        <f aca="false">IFERROR(VLOOKUP(Q54,'Dados extraidos'!$M$3:$N$100,2,),"")</f>
        <v/>
      </c>
      <c r="R7" s="26" t="str">
        <f aca="false">IFERROR(VLOOKUP(R54,'Dados extraidos'!$M$3:$N$100,2,),"")</f>
        <v/>
      </c>
      <c r="S7" s="10"/>
      <c r="T7" s="10"/>
      <c r="U7" s="10"/>
      <c r="V7" s="10"/>
    </row>
    <row r="8" customFormat="false" ht="12.75" hidden="false" customHeight="false" outlineLevel="0" collapsed="false">
      <c r="A8" s="0" t="n">
        <v>5</v>
      </c>
      <c r="B8" s="0" t="n">
        <f aca="false">B7+32</f>
        <v>160</v>
      </c>
      <c r="C8" s="25" t="n">
        <f aca="false">B8-$C$3</f>
        <v>160</v>
      </c>
      <c r="D8" s="31" t="str">
        <f aca="false">IFERROR(VLOOKUP(D55,'Dados extraidos'!$M$3:$N$100,2,),"")</f>
        <v/>
      </c>
      <c r="E8" s="31" t="str">
        <f aca="false">IFERROR(VLOOKUP(E55,'Dados extraidos'!$M$3:$N$100,2,),"")</f>
        <v/>
      </c>
      <c r="F8" s="31" t="str">
        <f aca="false">IFERROR(VLOOKUP(F55,'Dados extraidos'!$M$3:$N$100,2,),"")</f>
        <v/>
      </c>
      <c r="G8" s="31" t="str">
        <f aca="false">IFERROR(VLOOKUP(G55,'Dados extraidos'!$M$3:$N$100,2,),"")</f>
        <v/>
      </c>
      <c r="H8" s="31" t="str">
        <f aca="false">IFERROR(VLOOKUP(H55,'Dados extraidos'!$M$3:$N$100,2,),"")</f>
        <v/>
      </c>
      <c r="I8" s="31" t="str">
        <f aca="false">IFERROR(VLOOKUP(I55,'Dados extraidos'!$M$3:$N$100,2,),"")</f>
        <v/>
      </c>
      <c r="J8" s="31" t="str">
        <f aca="false">IFERROR(VLOOKUP(J55,'Dados extraidos'!$M$3:$N$100,2,),"")</f>
        <v/>
      </c>
      <c r="K8" s="31" t="str">
        <f aca="false">IFERROR(VLOOKUP(K55,'Dados extraidos'!$M$3:$N$100,2,),"")</f>
        <v/>
      </c>
      <c r="L8" s="31" t="str">
        <f aca="false">IFERROR(VLOOKUP(L55,'Dados extraidos'!$M$3:$N$100,2,),"")</f>
        <v/>
      </c>
      <c r="M8" s="31" t="str">
        <f aca="false">IFERROR(VLOOKUP(M55,'Dados extraidos'!$M$3:$N$100,2,),"")</f>
        <v/>
      </c>
      <c r="N8" s="31" t="str">
        <f aca="false">IFERROR(VLOOKUP(N55,'Dados extraidos'!$M$3:$N$100,2,),"")</f>
        <v/>
      </c>
      <c r="O8" s="31" t="str">
        <f aca="false">IFERROR(VLOOKUP(O55,'Dados extraidos'!$M$3:$N$100,2,),"")</f>
        <v/>
      </c>
      <c r="P8" s="31" t="str">
        <f aca="false">IFERROR(VLOOKUP(P55,'Dados extraidos'!$M$3:$N$100,2,),"")</f>
        <v/>
      </c>
      <c r="Q8" s="31" t="str">
        <f aca="false">IFERROR(VLOOKUP(Q55,'Dados extraidos'!$M$3:$N$100,2,),"")</f>
        <v/>
      </c>
      <c r="R8" s="31" t="str">
        <f aca="false">IFERROR(VLOOKUP(R55,'Dados extraidos'!$M$3:$N$100,2,),"")</f>
        <v/>
      </c>
      <c r="S8" s="32"/>
      <c r="T8" s="32"/>
      <c r="U8" s="32"/>
      <c r="V8" s="32"/>
    </row>
    <row r="9" customFormat="false" ht="12.75" hidden="false" customHeight="false" outlineLevel="0" collapsed="false">
      <c r="A9" s="0" t="n">
        <v>6</v>
      </c>
      <c r="B9" s="0" t="n">
        <f aca="false">B8+32</f>
        <v>192</v>
      </c>
      <c r="C9" s="25" t="n">
        <f aca="false">B9-$C$3</f>
        <v>192</v>
      </c>
      <c r="D9" s="26" t="str">
        <f aca="false">IFERROR(VLOOKUP(D56,'Dados extraidos'!$M$3:$N$100,2,),"")</f>
        <v/>
      </c>
      <c r="E9" s="26" t="str">
        <f aca="false">IFERROR(VLOOKUP(E56,'Dados extraidos'!$M$3:$N$100,2,),"")</f>
        <v/>
      </c>
      <c r="F9" s="26" t="str">
        <f aca="false">IFERROR(VLOOKUP(F56,'Dados extraidos'!$M$3:$N$100,2,),"")</f>
        <v/>
      </c>
      <c r="G9" s="26" t="str">
        <f aca="false">IFERROR(VLOOKUP(G56,'Dados extraidos'!$M$3:$N$100,2,),"")</f>
        <v/>
      </c>
      <c r="H9" s="26" t="str">
        <f aca="false">IFERROR(VLOOKUP(H56,'Dados extraidos'!$M$3:$N$100,2,),"")</f>
        <v/>
      </c>
      <c r="I9" s="26" t="str">
        <f aca="false">IFERROR(VLOOKUP(I56,'Dados extraidos'!$M$3:$N$100,2,),"")</f>
        <v/>
      </c>
      <c r="J9" s="26" t="str">
        <f aca="false">IFERROR(VLOOKUP(J56,'Dados extraidos'!$M$3:$N$100,2,),"")</f>
        <v/>
      </c>
      <c r="K9" s="26" t="str">
        <f aca="false">IFERROR(VLOOKUP(K56,'Dados extraidos'!$M$3:$N$100,2,),"")</f>
        <v/>
      </c>
      <c r="L9" s="26" t="str">
        <f aca="false">IFERROR(VLOOKUP(L56,'Dados extraidos'!$M$3:$N$100,2,),"")</f>
        <v/>
      </c>
      <c r="M9" s="26" t="str">
        <f aca="false">IFERROR(VLOOKUP(M56,'Dados extraidos'!$M$3:$N$100,2,),"")</f>
        <v/>
      </c>
      <c r="N9" s="26" t="str">
        <f aca="false">IFERROR(VLOOKUP(N56,'Dados extraidos'!$M$3:$N$100,2,),"")</f>
        <v/>
      </c>
      <c r="O9" s="26" t="str">
        <f aca="false">IFERROR(VLOOKUP(O56,'Dados extraidos'!$M$3:$N$100,2,),"")</f>
        <v/>
      </c>
      <c r="P9" s="26" t="str">
        <f aca="false">IFERROR(VLOOKUP(P56,'Dados extraidos'!$M$3:$N$100,2,),"")</f>
        <v/>
      </c>
      <c r="Q9" s="26" t="str">
        <f aca="false">IFERROR(VLOOKUP(Q56,'Dados extraidos'!$M$3:$N$100,2,),"")</f>
        <v/>
      </c>
      <c r="R9" s="26" t="str">
        <f aca="false">IFERROR(VLOOKUP(R56,'Dados extraidos'!$M$3:$N$100,2,),"")</f>
        <v/>
      </c>
      <c r="S9" s="10"/>
      <c r="T9" s="10"/>
      <c r="U9" s="10"/>
      <c r="V9" s="10"/>
    </row>
    <row r="10" customFormat="false" ht="12.75" hidden="false" customHeight="false" outlineLevel="0" collapsed="false">
      <c r="A10" s="0" t="n">
        <v>7</v>
      </c>
      <c r="B10" s="0" t="n">
        <f aca="false">B9+32</f>
        <v>224</v>
      </c>
      <c r="C10" s="25" t="n">
        <f aca="false">B10-$C$3</f>
        <v>224</v>
      </c>
      <c r="D10" s="31" t="str">
        <f aca="false">IFERROR(VLOOKUP(D57,'Dados extraidos'!$M$3:$N$100,2,),"")</f>
        <v/>
      </c>
      <c r="E10" s="31" t="str">
        <f aca="false">IFERROR(VLOOKUP(E57,'Dados extraidos'!$M$3:$N$100,2,),"")</f>
        <v/>
      </c>
      <c r="F10" s="31" t="str">
        <f aca="false">IFERROR(VLOOKUP(F57,'Dados extraidos'!$M$3:$N$100,2,),"")</f>
        <v/>
      </c>
      <c r="G10" s="31" t="str">
        <f aca="false">IFERROR(VLOOKUP(G57,'Dados extraidos'!$M$3:$N$100,2,),"")</f>
        <v/>
      </c>
      <c r="H10" s="31" t="str">
        <f aca="false">IFERROR(VLOOKUP(H57,'Dados extraidos'!$M$3:$N$100,2,),"")</f>
        <v/>
      </c>
      <c r="I10" s="31" t="str">
        <f aca="false">IFERROR(VLOOKUP(I57,'Dados extraidos'!$M$3:$N$100,2,),"")</f>
        <v/>
      </c>
      <c r="J10" s="31" t="str">
        <f aca="false">IFERROR(VLOOKUP(J57,'Dados extraidos'!$M$3:$N$100,2,),"")</f>
        <v/>
      </c>
      <c r="K10" s="31" t="str">
        <f aca="false">IFERROR(VLOOKUP(K57,'Dados extraidos'!$M$3:$N$100,2,),"")</f>
        <v/>
      </c>
      <c r="L10" s="31" t="str">
        <f aca="false">IFERROR(VLOOKUP(L57,'Dados extraidos'!$M$3:$N$100,2,),"")</f>
        <v/>
      </c>
      <c r="M10" s="31" t="str">
        <f aca="false">IFERROR(VLOOKUP(M57,'Dados extraidos'!$M$3:$N$100,2,),"")</f>
        <v/>
      </c>
      <c r="N10" s="31" t="str">
        <f aca="false">IFERROR(VLOOKUP(N57,'Dados extraidos'!$M$3:$N$100,2,),"")</f>
        <v/>
      </c>
      <c r="O10" s="31" t="str">
        <f aca="false">IFERROR(VLOOKUP(O57,'Dados extraidos'!$M$3:$N$100,2,),"")</f>
        <v/>
      </c>
      <c r="P10" s="31" t="str">
        <f aca="false">IFERROR(VLOOKUP(P57,'Dados extraidos'!$M$3:$N$100,2,),"")</f>
        <v/>
      </c>
      <c r="Q10" s="31" t="str">
        <f aca="false">IFERROR(VLOOKUP(Q57,'Dados extraidos'!$M$3:$N$100,2,),"")</f>
        <v/>
      </c>
      <c r="R10" s="31" t="str">
        <f aca="false">IFERROR(VLOOKUP(R57,'Dados extraidos'!$M$3:$N$100,2,),"")</f>
        <v/>
      </c>
      <c r="S10" s="32"/>
      <c r="T10" s="32"/>
      <c r="U10" s="32"/>
      <c r="V10" s="32"/>
    </row>
    <row r="11" customFormat="false" ht="12.75" hidden="false" customHeight="false" outlineLevel="0" collapsed="false">
      <c r="A11" s="0" t="n">
        <v>8</v>
      </c>
      <c r="B11" s="0" t="n">
        <f aca="false">B10+32</f>
        <v>256</v>
      </c>
      <c r="C11" s="25" t="n">
        <f aca="false">B11-$C$3</f>
        <v>256</v>
      </c>
      <c r="D11" s="26" t="str">
        <f aca="false">IFERROR(VLOOKUP(D58,'Dados extraidos'!$M$3:$N$100,2,),"")</f>
        <v/>
      </c>
      <c r="E11" s="26" t="str">
        <f aca="false">IFERROR(VLOOKUP(E58,'Dados extraidos'!$M$3:$N$100,2,),"")</f>
        <v/>
      </c>
      <c r="F11" s="26" t="str">
        <f aca="false">IFERROR(VLOOKUP(F58,'Dados extraidos'!$M$3:$N$100,2,),"")</f>
        <v/>
      </c>
      <c r="G11" s="26" t="str">
        <f aca="false">IFERROR(VLOOKUP(G58,'Dados extraidos'!$M$3:$N$100,2,),"")</f>
        <v/>
      </c>
      <c r="H11" s="26" t="str">
        <f aca="false">IFERROR(VLOOKUP(H58,'Dados extraidos'!$M$3:$N$100,2,),"")</f>
        <v/>
      </c>
      <c r="I11" s="26" t="str">
        <f aca="false">IFERROR(VLOOKUP(I58,'Dados extraidos'!$M$3:$N$100,2,),"")</f>
        <v/>
      </c>
      <c r="J11" s="26" t="str">
        <f aca="false">IFERROR(VLOOKUP(J58,'Dados extraidos'!$M$3:$N$100,2,),"")</f>
        <v/>
      </c>
      <c r="K11" s="26" t="str">
        <f aca="false">IFERROR(VLOOKUP(K58,'Dados extraidos'!$M$3:$N$100,2,),"")</f>
        <v/>
      </c>
      <c r="L11" s="26" t="str">
        <f aca="false">IFERROR(VLOOKUP(L58,'Dados extraidos'!$M$3:$N$100,2,),"")</f>
        <v/>
      </c>
      <c r="M11" s="26" t="str">
        <f aca="false">IFERROR(VLOOKUP(M58,'Dados extraidos'!$M$3:$N$100,2,),"")</f>
        <v/>
      </c>
      <c r="N11" s="26" t="str">
        <f aca="false">IFERROR(VLOOKUP(N58,'Dados extraidos'!$M$3:$N$100,2,),"")</f>
        <v/>
      </c>
      <c r="O11" s="26" t="str">
        <f aca="false">IFERROR(VLOOKUP(O58,'Dados extraidos'!$M$3:$N$100,2,),"")</f>
        <v/>
      </c>
      <c r="P11" s="26" t="str">
        <f aca="false">IFERROR(VLOOKUP(P58,'Dados extraidos'!$M$3:$N$100,2,),"")</f>
        <v/>
      </c>
      <c r="Q11" s="26" t="str">
        <f aca="false">IFERROR(VLOOKUP(Q58,'Dados extraidos'!$M$3:$N$100,2,),"")</f>
        <v/>
      </c>
      <c r="R11" s="26" t="str">
        <f aca="false">IFERROR(VLOOKUP(R58,'Dados extraidos'!$M$3:$N$100,2,),"")</f>
        <v/>
      </c>
      <c r="S11" s="10"/>
      <c r="T11" s="10"/>
      <c r="U11" s="10"/>
      <c r="V11" s="10"/>
    </row>
    <row r="12" customFormat="false" ht="12.75" hidden="false" customHeight="false" outlineLevel="0" collapsed="false">
      <c r="A12" s="0" t="n">
        <v>9</v>
      </c>
      <c r="B12" s="0" t="n">
        <f aca="false">B11+32</f>
        <v>288</v>
      </c>
      <c r="C12" s="25" t="n">
        <f aca="false">B12-$C$3</f>
        <v>288</v>
      </c>
      <c r="D12" s="31" t="str">
        <f aca="false">IFERROR(VLOOKUP(D59,'Dados extraidos'!$M$3:$N$100,2,),"")</f>
        <v/>
      </c>
      <c r="E12" s="31" t="str">
        <f aca="false">IFERROR(VLOOKUP(E59,'Dados extraidos'!$M$3:$N$100,2,),"")</f>
        <v/>
      </c>
      <c r="F12" s="31" t="str">
        <f aca="false">IFERROR(VLOOKUP(F59,'Dados extraidos'!$M$3:$N$100,2,),"")</f>
        <v/>
      </c>
      <c r="G12" s="31" t="str">
        <f aca="false">IFERROR(VLOOKUP(G59,'Dados extraidos'!$M$3:$N$100,2,),"")</f>
        <v/>
      </c>
      <c r="H12" s="31" t="str">
        <f aca="false">IFERROR(VLOOKUP(H59,'Dados extraidos'!$M$3:$N$100,2,),"")</f>
        <v/>
      </c>
      <c r="I12" s="31" t="str">
        <f aca="false">IFERROR(VLOOKUP(I59,'Dados extraidos'!$M$3:$N$100,2,),"")</f>
        <v/>
      </c>
      <c r="J12" s="31" t="str">
        <f aca="false">IFERROR(VLOOKUP(J59,'Dados extraidos'!$M$3:$N$100,2,),"")</f>
        <v/>
      </c>
      <c r="K12" s="31" t="str">
        <f aca="false">IFERROR(VLOOKUP(K59,'Dados extraidos'!$M$3:$N$100,2,),"")</f>
        <v/>
      </c>
      <c r="L12" s="31" t="str">
        <f aca="false">IFERROR(VLOOKUP(L59,'Dados extraidos'!$M$3:$N$100,2,),"")</f>
        <v/>
      </c>
      <c r="M12" s="31" t="str">
        <f aca="false">IFERROR(VLOOKUP(M59,'Dados extraidos'!$M$3:$N$100,2,),"")</f>
        <v/>
      </c>
      <c r="N12" s="31" t="str">
        <f aca="false">IFERROR(VLOOKUP(N59,'Dados extraidos'!$M$3:$N$100,2,),"")</f>
        <v/>
      </c>
      <c r="O12" s="31" t="str">
        <f aca="false">IFERROR(VLOOKUP(O59,'Dados extraidos'!$M$3:$N$100,2,),"")</f>
        <v/>
      </c>
      <c r="P12" s="31" t="str">
        <f aca="false">IFERROR(VLOOKUP(P59,'Dados extraidos'!$M$3:$N$100,2,),"")</f>
        <v/>
      </c>
      <c r="Q12" s="31" t="str">
        <f aca="false">IFERROR(VLOOKUP(Q59,'Dados extraidos'!$M$3:$N$100,2,),"")</f>
        <v/>
      </c>
      <c r="R12" s="31" t="str">
        <f aca="false">IFERROR(VLOOKUP(R59,'Dados extraidos'!$M$3:$N$100,2,),"")</f>
        <v/>
      </c>
      <c r="S12" s="32"/>
      <c r="T12" s="32"/>
      <c r="U12" s="32"/>
      <c r="V12" s="32"/>
    </row>
    <row r="13" customFormat="false" ht="12.75" hidden="false" customHeight="false" outlineLevel="0" collapsed="false">
      <c r="A13" s="0" t="n">
        <v>10</v>
      </c>
      <c r="B13" s="0" t="n">
        <f aca="false">B12+32</f>
        <v>320</v>
      </c>
      <c r="C13" s="25" t="n">
        <f aca="false">B13-$C$3</f>
        <v>320</v>
      </c>
      <c r="D13" s="26" t="str">
        <f aca="false">IFERROR(VLOOKUP(D60,'Dados extraidos'!$M$3:$N$100,2,),"")</f>
        <v/>
      </c>
      <c r="E13" s="26" t="str">
        <f aca="false">IFERROR(VLOOKUP(E60,'Dados extraidos'!$M$3:$N$100,2,),"")</f>
        <v/>
      </c>
      <c r="F13" s="26" t="str">
        <f aca="false">IFERROR(VLOOKUP(F60,'Dados extraidos'!$M$3:$N$100,2,),"")</f>
        <v/>
      </c>
      <c r="G13" s="26" t="str">
        <f aca="false">IFERROR(VLOOKUP(G60,'Dados extraidos'!$M$3:$N$100,2,),"")</f>
        <v/>
      </c>
      <c r="H13" s="26" t="str">
        <f aca="false">IFERROR(VLOOKUP(H60,'Dados extraidos'!$M$3:$N$100,2,),"")</f>
        <v/>
      </c>
      <c r="I13" s="26" t="str">
        <f aca="false">IFERROR(VLOOKUP(I60,'Dados extraidos'!$M$3:$N$100,2,),"")</f>
        <v/>
      </c>
      <c r="J13" s="26" t="str">
        <f aca="false">IFERROR(VLOOKUP(J60,'Dados extraidos'!$M$3:$N$100,2,),"")</f>
        <v/>
      </c>
      <c r="K13" s="26" t="str">
        <f aca="false">IFERROR(VLOOKUP(K60,'Dados extraidos'!$M$3:$N$100,2,),"")</f>
        <v/>
      </c>
      <c r="L13" s="26" t="str">
        <f aca="false">IFERROR(VLOOKUP(L60,'Dados extraidos'!$M$3:$N$100,2,),"")</f>
        <v/>
      </c>
      <c r="M13" s="26" t="str">
        <f aca="false">IFERROR(VLOOKUP(M60,'Dados extraidos'!$M$3:$N$100,2,),"")</f>
        <v/>
      </c>
      <c r="N13" s="26" t="str">
        <f aca="false">IFERROR(VLOOKUP(N60,'Dados extraidos'!$M$3:$N$100,2,),"")</f>
        <v/>
      </c>
      <c r="O13" s="26" t="str">
        <f aca="false">IFERROR(VLOOKUP(O60,'Dados extraidos'!$M$3:$N$100,2,),"")</f>
        <v/>
      </c>
      <c r="P13" s="26" t="str">
        <f aca="false">IFERROR(VLOOKUP(P60,'Dados extraidos'!$M$3:$N$100,2,),"")</f>
        <v/>
      </c>
      <c r="Q13" s="26" t="str">
        <f aca="false">IFERROR(VLOOKUP(Q60,'Dados extraidos'!$M$3:$N$100,2,),"")</f>
        <v/>
      </c>
      <c r="R13" s="26" t="str">
        <f aca="false">IFERROR(VLOOKUP(R60,'Dados extraidos'!$M$3:$N$100,2,),"")</f>
        <v/>
      </c>
      <c r="S13" s="10"/>
      <c r="T13" s="10"/>
      <c r="U13" s="10"/>
      <c r="V13" s="10"/>
    </row>
    <row r="14" customFormat="false" ht="12.75" hidden="false" customHeight="false" outlineLevel="0" collapsed="false">
      <c r="A14" s="0" t="n">
        <v>11</v>
      </c>
      <c r="B14" s="0" t="n">
        <f aca="false">B13+32</f>
        <v>352</v>
      </c>
      <c r="C14" s="25" t="n">
        <f aca="false">B14-$C$3</f>
        <v>352</v>
      </c>
      <c r="D14" s="31" t="str">
        <f aca="false">IFERROR(VLOOKUP(D61,'Dados extraidos'!$M$3:$N$100,2,),"")</f>
        <v/>
      </c>
      <c r="E14" s="31" t="str">
        <f aca="false">IFERROR(VLOOKUP(E61,'Dados extraidos'!$M$3:$N$100,2,),"")</f>
        <v/>
      </c>
      <c r="F14" s="31" t="str">
        <f aca="false">IFERROR(VLOOKUP(F61,'Dados extraidos'!$M$3:$N$100,2,),"")</f>
        <v>5T</v>
      </c>
      <c r="G14" s="31" t="str">
        <f aca="false">IFERROR(VLOOKUP(G61,'Dados extraidos'!$M$3:$N$100,2,),"")</f>
        <v>5T</v>
      </c>
      <c r="H14" s="31" t="str">
        <f aca="false">IFERROR(VLOOKUP(H61,'Dados extraidos'!$M$3:$N$100,2,),"")</f>
        <v/>
      </c>
      <c r="I14" s="31" t="str">
        <f aca="false">IFERROR(VLOOKUP(I61,'Dados extraidos'!$M$3:$N$100,2,),"")</f>
        <v/>
      </c>
      <c r="J14" s="31" t="str">
        <f aca="false">IFERROR(VLOOKUP(J61,'Dados extraidos'!$M$3:$N$100,2,),"")</f>
        <v/>
      </c>
      <c r="K14" s="31" t="str">
        <f aca="false">IFERROR(VLOOKUP(K61,'Dados extraidos'!$M$3:$N$100,2,),"")</f>
        <v/>
      </c>
      <c r="L14" s="31" t="str">
        <f aca="false">IFERROR(VLOOKUP(L61,'Dados extraidos'!$M$3:$N$100,2,),"")</f>
        <v/>
      </c>
      <c r="M14" s="31" t="str">
        <f aca="false">IFERROR(VLOOKUP(M61,'Dados extraidos'!$M$3:$N$100,2,),"")</f>
        <v/>
      </c>
      <c r="N14" s="31" t="str">
        <f aca="false">IFERROR(VLOOKUP(N61,'Dados extraidos'!$M$3:$N$100,2,),"")</f>
        <v/>
      </c>
      <c r="O14" s="31" t="str">
        <f aca="false">IFERROR(VLOOKUP(O61,'Dados extraidos'!$M$3:$N$100,2,),"")</f>
        <v/>
      </c>
      <c r="P14" s="31" t="str">
        <f aca="false">IFERROR(VLOOKUP(P61,'Dados extraidos'!$M$3:$N$100,2,),"")</f>
        <v/>
      </c>
      <c r="Q14" s="31" t="str">
        <f aca="false">IFERROR(VLOOKUP(Q61,'Dados extraidos'!$M$3:$N$100,2,),"")</f>
        <v/>
      </c>
      <c r="R14" s="31" t="str">
        <f aca="false">IFERROR(VLOOKUP(R61,'Dados extraidos'!$M$3:$N$100,2,),"")</f>
        <v/>
      </c>
      <c r="S14" s="32"/>
      <c r="T14" s="32"/>
      <c r="U14" s="32"/>
      <c r="V14" s="32"/>
    </row>
    <row r="15" customFormat="false" ht="12.75" hidden="false" customHeight="false" outlineLevel="0" collapsed="false">
      <c r="A15" s="0" t="n">
        <v>12</v>
      </c>
      <c r="B15" s="0" t="n">
        <f aca="false">B14+32</f>
        <v>384</v>
      </c>
      <c r="C15" s="25" t="n">
        <f aca="false">B15-$C$3</f>
        <v>384</v>
      </c>
      <c r="D15" s="26" t="str">
        <f aca="false">IFERROR(VLOOKUP(D62,'Dados extraidos'!$M$3:$N$100,2,),"")</f>
        <v> 3.5</v>
      </c>
      <c r="E15" s="26" t="str">
        <f aca="false">IFERROR(VLOOKUP(E62,'Dados extraidos'!$M$3:$N$100,2,),"")</f>
        <v/>
      </c>
      <c r="F15" s="26" t="str">
        <f aca="false">IFERROR(VLOOKUP(F62,'Dados extraidos'!$M$3:$N$100,2,),"")</f>
        <v>5T</v>
      </c>
      <c r="G15" s="26" t="str">
        <f aca="false">IFERROR(VLOOKUP(G62,'Dados extraidos'!$M$3:$N$100,2,),"")</f>
        <v>5T</v>
      </c>
      <c r="H15" s="26" t="str">
        <f aca="false">IFERROR(VLOOKUP(H62,'Dados extraidos'!$M$3:$N$100,2,),"")</f>
        <v/>
      </c>
      <c r="I15" s="26" t="str">
        <f aca="false">IFERROR(VLOOKUP(I62,'Dados extraidos'!$M$3:$N$100,2,),"")</f>
        <v/>
      </c>
      <c r="J15" s="26" t="str">
        <f aca="false">IFERROR(VLOOKUP(J62,'Dados extraidos'!$M$3:$N$100,2,),"")</f>
        <v/>
      </c>
      <c r="K15" s="26" t="str">
        <f aca="false">IFERROR(VLOOKUP(K62,'Dados extraidos'!$M$3:$N$100,2,),"")</f>
        <v/>
      </c>
      <c r="L15" s="26" t="str">
        <f aca="false">IFERROR(VLOOKUP(L62,'Dados extraidos'!$M$3:$N$100,2,),"")</f>
        <v/>
      </c>
      <c r="M15" s="26" t="str">
        <f aca="false">IFERROR(VLOOKUP(M62,'Dados extraidos'!$M$3:$N$100,2,),"")</f>
        <v/>
      </c>
      <c r="N15" s="26" t="str">
        <f aca="false">IFERROR(VLOOKUP(N62,'Dados extraidos'!$M$3:$N$100,2,),"")</f>
        <v/>
      </c>
      <c r="O15" s="26" t="str">
        <f aca="false">IFERROR(VLOOKUP(O62,'Dados extraidos'!$M$3:$N$100,2,),"")</f>
        <v/>
      </c>
      <c r="P15" s="26" t="str">
        <f aca="false">IFERROR(VLOOKUP(P62,'Dados extraidos'!$M$3:$N$100,2,),"")</f>
        <v/>
      </c>
      <c r="Q15" s="26" t="str">
        <f aca="false">IFERROR(VLOOKUP(Q62,'Dados extraidos'!$M$3:$N$100,2,),"")</f>
        <v/>
      </c>
      <c r="R15" s="26" t="str">
        <f aca="false">IFERROR(VLOOKUP(R62,'Dados extraidos'!$M$3:$N$100,2,),"")</f>
        <v> 3.5</v>
      </c>
      <c r="S15" s="10"/>
      <c r="T15" s="10"/>
      <c r="U15" s="10"/>
      <c r="V15" s="10"/>
    </row>
    <row r="16" customFormat="false" ht="12.75" hidden="false" customHeight="false" outlineLevel="0" collapsed="false">
      <c r="A16" s="0" t="n">
        <v>13</v>
      </c>
      <c r="B16" s="0" t="n">
        <f aca="false">B15+32</f>
        <v>416</v>
      </c>
      <c r="C16" s="25" t="n">
        <f aca="false">B16-$C$3</f>
        <v>416</v>
      </c>
      <c r="D16" s="31" t="str">
        <f aca="false">IFERROR(VLOOKUP(D63,'Dados extraidos'!$M$3:$N$100,2,),"")</f>
        <v>6</v>
      </c>
      <c r="E16" s="31" t="str">
        <f aca="false">IFERROR(VLOOKUP(E63,'Dados extraidos'!$M$3:$N$100,2,),"")</f>
        <v/>
      </c>
      <c r="F16" s="31" t="str">
        <f aca="false">IFERROR(VLOOKUP(F63,'Dados extraidos'!$M$3:$N$100,2,),"")</f>
        <v>6T</v>
      </c>
      <c r="G16" s="31" t="str">
        <f aca="false">IFERROR(VLOOKUP(G63,'Dados extraidos'!$M$3:$N$100,2,),"")</f>
        <v>6T</v>
      </c>
      <c r="H16" s="31" t="str">
        <f aca="false">IFERROR(VLOOKUP(H63,'Dados extraidos'!$M$3:$N$100,2,),"")</f>
        <v/>
      </c>
      <c r="I16" s="31" t="str">
        <f aca="false">IFERROR(VLOOKUP(I63,'Dados extraidos'!$M$3:$N$100,2,),"")</f>
        <v/>
      </c>
      <c r="J16" s="31" t="str">
        <f aca="false">IFERROR(VLOOKUP(J63,'Dados extraidos'!$M$3:$N$100,2,),"")</f>
        <v/>
      </c>
      <c r="K16" s="31" t="str">
        <f aca="false">IFERROR(VLOOKUP(K63,'Dados extraidos'!$M$3:$N$100,2,),"")</f>
        <v/>
      </c>
      <c r="L16" s="31" t="str">
        <f aca="false">IFERROR(VLOOKUP(L63,'Dados extraidos'!$M$3:$N$100,2,),"")</f>
        <v/>
      </c>
      <c r="M16" s="31" t="str">
        <f aca="false">IFERROR(VLOOKUP(M63,'Dados extraidos'!$M$3:$N$100,2,),"")</f>
        <v/>
      </c>
      <c r="N16" s="31" t="str">
        <f aca="false">IFERROR(VLOOKUP(N63,'Dados extraidos'!$M$3:$N$100,2,),"")</f>
        <v/>
      </c>
      <c r="O16" s="31" t="str">
        <f aca="false">IFERROR(VLOOKUP(O63,'Dados extraidos'!$M$3:$N$100,2,),"")</f>
        <v/>
      </c>
      <c r="P16" s="31" t="str">
        <f aca="false">IFERROR(VLOOKUP(P63,'Dados extraidos'!$M$3:$N$100,2,),"")</f>
        <v/>
      </c>
      <c r="Q16" s="31" t="str">
        <f aca="false">IFERROR(VLOOKUP(Q63,'Dados extraidos'!$M$3:$N$100,2,),"")</f>
        <v/>
      </c>
      <c r="R16" s="31" t="str">
        <f aca="false">IFERROR(VLOOKUP(R63,'Dados extraidos'!$M$3:$N$100,2,),"")</f>
        <v>6</v>
      </c>
      <c r="S16" s="32"/>
      <c r="T16" s="32"/>
      <c r="U16" s="32"/>
      <c r="V16" s="32"/>
    </row>
    <row r="17" customFormat="false" ht="12.75" hidden="false" customHeight="false" outlineLevel="0" collapsed="false">
      <c r="A17" s="0" t="n">
        <v>14</v>
      </c>
      <c r="B17" s="0" t="n">
        <f aca="false">B16+32</f>
        <v>448</v>
      </c>
      <c r="C17" s="25" t="n">
        <f aca="false">B17-$C$3</f>
        <v>448</v>
      </c>
      <c r="D17" s="26" t="str">
        <f aca="false">IFERROR(VLOOKUP(D64,'Dados extraidos'!$M$3:$N$100,2,),"")</f>
        <v/>
      </c>
      <c r="E17" s="26" t="str">
        <f aca="false">IFERROR(VLOOKUP(E64,'Dados extraidos'!$M$3:$N$100,2,),"")</f>
        <v/>
      </c>
      <c r="F17" s="26" t="str">
        <f aca="false">IFERROR(VLOOKUP(F64,'Dados extraidos'!$M$3:$N$100,2,),"")</f>
        <v/>
      </c>
      <c r="G17" s="26" t="str">
        <f aca="false">IFERROR(VLOOKUP(G64,'Dados extraidos'!$M$3:$N$100,2,),"")</f>
        <v/>
      </c>
      <c r="H17" s="26" t="str">
        <f aca="false">IFERROR(VLOOKUP(H64,'Dados extraidos'!$M$3:$N$100,2,),"")</f>
        <v/>
      </c>
      <c r="I17" s="26" t="str">
        <f aca="false">IFERROR(VLOOKUP(I64,'Dados extraidos'!$M$3:$N$100,2,),"")</f>
        <v/>
      </c>
      <c r="J17" s="26" t="str">
        <f aca="false">IFERROR(VLOOKUP(J64,'Dados extraidos'!$M$3:$N$100,2,),"")</f>
        <v/>
      </c>
      <c r="K17" s="26" t="str">
        <f aca="false">IFERROR(VLOOKUP(K64,'Dados extraidos'!$M$3:$N$100,2,),"")</f>
        <v/>
      </c>
      <c r="L17" s="26" t="str">
        <f aca="false">IFERROR(VLOOKUP(L64,'Dados extraidos'!$M$3:$N$100,2,),"")</f>
        <v/>
      </c>
      <c r="M17" s="26" t="str">
        <f aca="false">IFERROR(VLOOKUP(M64,'Dados extraidos'!$M$3:$N$100,2,),"")</f>
        <v/>
      </c>
      <c r="N17" s="26" t="str">
        <f aca="false">IFERROR(VLOOKUP(N64,'Dados extraidos'!$M$3:$N$100,2,),"")</f>
        <v/>
      </c>
      <c r="O17" s="26" t="str">
        <f aca="false">IFERROR(VLOOKUP(O64,'Dados extraidos'!$M$3:$N$100,2,),"")</f>
        <v/>
      </c>
      <c r="P17" s="26" t="str">
        <f aca="false">IFERROR(VLOOKUP(P64,'Dados extraidos'!$M$3:$N$100,2,),"")</f>
        <v/>
      </c>
      <c r="Q17" s="26" t="str">
        <f aca="false">IFERROR(VLOOKUP(Q64,'Dados extraidos'!$M$3:$N$100,2,),"")</f>
        <v/>
      </c>
      <c r="R17" s="26" t="str">
        <f aca="false">IFERROR(VLOOKUP(R64,'Dados extraidos'!$M$3:$N$100,2,),"")</f>
        <v/>
      </c>
      <c r="S17" s="10"/>
      <c r="T17" s="10"/>
      <c r="U17" s="10"/>
      <c r="V17" s="10"/>
    </row>
    <row r="18" customFormat="false" ht="12.75" hidden="false" customHeight="false" outlineLevel="0" collapsed="false">
      <c r="A18" s="0" t="n">
        <v>15</v>
      </c>
      <c r="B18" s="0" t="n">
        <f aca="false">B17+32</f>
        <v>480</v>
      </c>
      <c r="C18" s="25" t="n">
        <f aca="false">B18-$C$3</f>
        <v>480</v>
      </c>
      <c r="D18" s="31" t="str">
        <f aca="false">IFERROR(VLOOKUP(D65,'Dados extraidos'!$M$3:$N$100,2,),"")</f>
        <v/>
      </c>
      <c r="E18" s="31" t="str">
        <f aca="false">IFERROR(VLOOKUP(E65,'Dados extraidos'!$M$3:$N$100,2,),"")</f>
        <v/>
      </c>
      <c r="F18" s="31" t="str">
        <f aca="false">IFERROR(VLOOKUP(F65,'Dados extraidos'!$M$3:$N$100,2,),"")</f>
        <v/>
      </c>
      <c r="G18" s="31" t="str">
        <f aca="false">IFERROR(VLOOKUP(G65,'Dados extraidos'!$M$3:$N$100,2,),"")</f>
        <v/>
      </c>
      <c r="H18" s="31" t="str">
        <f aca="false">IFERROR(VLOOKUP(H65,'Dados extraidos'!$M$3:$N$100,2,),"")</f>
        <v/>
      </c>
      <c r="I18" s="31" t="str">
        <f aca="false">IFERROR(VLOOKUP(I65,'Dados extraidos'!$M$3:$N$100,2,),"")</f>
        <v/>
      </c>
      <c r="J18" s="31" t="str">
        <f aca="false">IFERROR(VLOOKUP(J65,'Dados extraidos'!$M$3:$N$100,2,),"")</f>
        <v/>
      </c>
      <c r="K18" s="31" t="str">
        <f aca="false">IFERROR(VLOOKUP(K65,'Dados extraidos'!$M$3:$N$100,2,),"")</f>
        <v/>
      </c>
      <c r="L18" s="31" t="str">
        <f aca="false">IFERROR(VLOOKUP(L65,'Dados extraidos'!$M$3:$N$100,2,),"")</f>
        <v/>
      </c>
      <c r="M18" s="31" t="str">
        <f aca="false">IFERROR(VLOOKUP(M65,'Dados extraidos'!$M$3:$N$100,2,),"")</f>
        <v/>
      </c>
      <c r="N18" s="31" t="str">
        <f aca="false">IFERROR(VLOOKUP(N65,'Dados extraidos'!$M$3:$N$100,2,),"")</f>
        <v/>
      </c>
      <c r="O18" s="31" t="str">
        <f aca="false">IFERROR(VLOOKUP(O65,'Dados extraidos'!$M$3:$N$100,2,),"")</f>
        <v/>
      </c>
      <c r="P18" s="31" t="str">
        <f aca="false">IFERROR(VLOOKUP(P65,'Dados extraidos'!$M$3:$N$100,2,),"")</f>
        <v/>
      </c>
      <c r="Q18" s="31" t="str">
        <f aca="false">IFERROR(VLOOKUP(Q65,'Dados extraidos'!$M$3:$N$100,2,),"")</f>
        <v/>
      </c>
      <c r="R18" s="31" t="str">
        <f aca="false">IFERROR(VLOOKUP(R65,'Dados extraidos'!$M$3:$N$100,2,),"")</f>
        <v/>
      </c>
      <c r="S18" s="32"/>
      <c r="T18" s="32"/>
      <c r="U18" s="32"/>
      <c r="V18" s="32"/>
    </row>
    <row r="19" customFormat="false" ht="12.75" hidden="false" customHeight="false" outlineLevel="0" collapsed="false">
      <c r="A19" s="0" t="n">
        <v>16</v>
      </c>
      <c r="B19" s="0" t="n">
        <f aca="false">B18+32</f>
        <v>512</v>
      </c>
      <c r="C19" s="25" t="n">
        <f aca="false">B19-$C$3</f>
        <v>512</v>
      </c>
      <c r="D19" s="26" t="str">
        <f aca="false">IFERROR(VLOOKUP(D66,'Dados extraidos'!$M$3:$N$100,2,),"")</f>
        <v/>
      </c>
      <c r="E19" s="26" t="str">
        <f aca="false">IFERROR(VLOOKUP(E66,'Dados extraidos'!$M$3:$N$100,2,),"")</f>
        <v/>
      </c>
      <c r="F19" s="26" t="str">
        <f aca="false">IFERROR(VLOOKUP(F66,'Dados extraidos'!$M$3:$N$100,2,),"")</f>
        <v/>
      </c>
      <c r="G19" s="26" t="str">
        <f aca="false">IFERROR(VLOOKUP(G66,'Dados extraidos'!$M$3:$N$100,2,),"")</f>
        <v/>
      </c>
      <c r="H19" s="26" t="str">
        <f aca="false">IFERROR(VLOOKUP(H66,'Dados extraidos'!$M$3:$N$100,2,),"")</f>
        <v/>
      </c>
      <c r="I19" s="26" t="str">
        <f aca="false">IFERROR(VLOOKUP(I66,'Dados extraidos'!$M$3:$N$100,2,),"")</f>
        <v/>
      </c>
      <c r="J19" s="26" t="str">
        <f aca="false">IFERROR(VLOOKUP(J66,'Dados extraidos'!$M$3:$N$100,2,),"")</f>
        <v/>
      </c>
      <c r="K19" s="26" t="str">
        <f aca="false">IFERROR(VLOOKUP(K66,'Dados extraidos'!$M$3:$N$100,2,),"")</f>
        <v/>
      </c>
      <c r="L19" s="26" t="str">
        <f aca="false">IFERROR(VLOOKUP(L66,'Dados extraidos'!$M$3:$N$100,2,),"")</f>
        <v/>
      </c>
      <c r="M19" s="26" t="str">
        <f aca="false">IFERROR(VLOOKUP(M66,'Dados extraidos'!$M$3:$N$100,2,),"")</f>
        <v/>
      </c>
      <c r="N19" s="26" t="str">
        <f aca="false">IFERROR(VLOOKUP(N66,'Dados extraidos'!$M$3:$N$100,2,),"")</f>
        <v/>
      </c>
      <c r="O19" s="26" t="str">
        <f aca="false">IFERROR(VLOOKUP(O66,'Dados extraidos'!$M$3:$N$100,2,),"")</f>
        <v/>
      </c>
      <c r="P19" s="26" t="str">
        <f aca="false">IFERROR(VLOOKUP(P66,'Dados extraidos'!$M$3:$N$100,2,),"")</f>
        <v/>
      </c>
      <c r="Q19" s="26" t="str">
        <f aca="false">IFERROR(VLOOKUP(Q66,'Dados extraidos'!$M$3:$N$100,2,),"")</f>
        <v/>
      </c>
      <c r="R19" s="26" t="str">
        <f aca="false">IFERROR(VLOOKUP(R66,'Dados extraidos'!$M$3:$N$100,2,),"")</f>
        <v/>
      </c>
      <c r="S19" s="10"/>
      <c r="T19" s="10"/>
      <c r="U19" s="10"/>
      <c r="V19" s="10"/>
    </row>
    <row r="20" customFormat="false" ht="12.75" hidden="false" customHeight="false" outlineLevel="0" collapsed="false">
      <c r="A20" s="0" t="n">
        <v>17</v>
      </c>
      <c r="B20" s="0" t="n">
        <f aca="false">B19+32</f>
        <v>544</v>
      </c>
      <c r="C20" s="25" t="n">
        <f aca="false">B20-$C$3</f>
        <v>544</v>
      </c>
      <c r="D20" s="31" t="str">
        <f aca="false">IFERROR(VLOOKUP(D45,'Dados extraidos'!$M$3:$N$100,2,),"")</f>
        <v/>
      </c>
      <c r="E20" s="31" t="str">
        <f aca="false">IFERROR(VLOOKUP(E67,'Dados extraidos'!$M$3:$N$100,2,),"")</f>
        <v/>
      </c>
      <c r="F20" s="31" t="str">
        <f aca="false">IFERROR(VLOOKUP(F67,'Dados extraidos'!$M$3:$N$100,2,),"")</f>
        <v/>
      </c>
      <c r="G20" s="31" t="str">
        <f aca="false">IFERROR(VLOOKUP(G67,'Dados extraidos'!$M$3:$N$100,2,),"")</f>
        <v/>
      </c>
      <c r="H20" s="31" t="str">
        <f aca="false">IFERROR(VLOOKUP(H67,'Dados extraidos'!$M$3:$N$100,2,),"")</f>
        <v/>
      </c>
      <c r="I20" s="31" t="str">
        <f aca="false">IFERROR(VLOOKUP(I67,'Dados extraidos'!$M$3:$N$100,2,),"")</f>
        <v/>
      </c>
      <c r="J20" s="31" t="str">
        <f aca="false">IFERROR(VLOOKUP(J67,'Dados extraidos'!$M$3:$N$100,2,),"")</f>
        <v/>
      </c>
      <c r="K20" s="31" t="str">
        <f aca="false">IFERROR(VLOOKUP(K67,'Dados extraidos'!$M$3:$N$100,2,),"")</f>
        <v/>
      </c>
      <c r="L20" s="31" t="str">
        <f aca="false">IFERROR(VLOOKUP(L67,'Dados extraidos'!$M$3:$N$100,2,),"")</f>
        <v/>
      </c>
      <c r="M20" s="31" t="str">
        <f aca="false">IFERROR(VLOOKUP(M67,'Dados extraidos'!$M$3:$N$100,2,),"")</f>
        <v/>
      </c>
      <c r="N20" s="31" t="str">
        <f aca="false">IFERROR(VLOOKUP(N67,'Dados extraidos'!$M$3:$N$100,2,),"")</f>
        <v/>
      </c>
      <c r="O20" s="31" t="str">
        <f aca="false">IFERROR(VLOOKUP(O67,'Dados extraidos'!$M$3:$N$100,2,),"")</f>
        <v/>
      </c>
      <c r="P20" s="31" t="str">
        <f aca="false">IFERROR(VLOOKUP(P67,'Dados extraidos'!$M$3:$N$100,2,),"")</f>
        <v/>
      </c>
      <c r="Q20" s="31" t="str">
        <f aca="false">IFERROR(VLOOKUP(Q67,'Dados extraidos'!$M$3:$N$100,2,),"")</f>
        <v/>
      </c>
      <c r="R20" s="31" t="str">
        <f aca="false">IFERROR(VLOOKUP(R67,'Dados extraidos'!$M$3:$N$100,2,),"")</f>
        <v/>
      </c>
      <c r="S20" s="32"/>
      <c r="T20" s="32"/>
      <c r="U20" s="32"/>
      <c r="V20" s="32"/>
    </row>
    <row r="21" customFormat="false" ht="12.75" hidden="false" customHeight="false" outlineLevel="0" collapsed="false">
      <c r="A21" s="0" t="n">
        <v>18</v>
      </c>
      <c r="B21" s="0" t="n">
        <f aca="false">B20+32</f>
        <v>576</v>
      </c>
      <c r="C21" s="25" t="n">
        <f aca="false">B21-$C$3</f>
        <v>576</v>
      </c>
      <c r="D21" s="26" t="str">
        <f aca="false">IFERROR(VLOOKUP(D46,'Dados extraidos'!$M$3:$N$100,2,),"")</f>
        <v/>
      </c>
      <c r="E21" s="26" t="str">
        <f aca="false">IFERROR(VLOOKUP(E68,'Dados extraidos'!$M$3:$N$100,2,),"")</f>
        <v/>
      </c>
      <c r="F21" s="26" t="str">
        <f aca="false">IFERROR(VLOOKUP(F68,'Dados extraidos'!$M$3:$N$100,2,),"")</f>
        <v/>
      </c>
      <c r="G21" s="26" t="str">
        <f aca="false">IFERROR(VLOOKUP(G68,'Dados extraidos'!$M$3:$N$100,2,),"")</f>
        <v/>
      </c>
      <c r="H21" s="26" t="str">
        <f aca="false">IFERROR(VLOOKUP(H68,'Dados extraidos'!$M$3:$N$100,2,),"")</f>
        <v/>
      </c>
      <c r="I21" s="26" t="str">
        <f aca="false">IFERROR(VLOOKUP(I68,'Dados extraidos'!$M$3:$N$100,2,),"")</f>
        <v/>
      </c>
      <c r="J21" s="26" t="str">
        <f aca="false">IFERROR(VLOOKUP(J68,'Dados extraidos'!$M$3:$N$100,2,),"")</f>
        <v/>
      </c>
      <c r="K21" s="26" t="str">
        <f aca="false">IFERROR(VLOOKUP(K68,'Dados extraidos'!$M$3:$N$100,2,),"")</f>
        <v/>
      </c>
      <c r="L21" s="26" t="str">
        <f aca="false">IFERROR(VLOOKUP(L68,'Dados extraidos'!$M$3:$N$100,2,),"")</f>
        <v/>
      </c>
      <c r="M21" s="26" t="str">
        <f aca="false">IFERROR(VLOOKUP(M68,'Dados extraidos'!$M$3:$N$100,2,),"")</f>
        <v/>
      </c>
      <c r="N21" s="26" t="str">
        <f aca="false">IFERROR(VLOOKUP(N68,'Dados extraidos'!$M$3:$N$100,2,),"")</f>
        <v/>
      </c>
      <c r="O21" s="26" t="str">
        <f aca="false">IFERROR(VLOOKUP(O68,'Dados extraidos'!$M$3:$N$100,2,),"")</f>
        <v/>
      </c>
      <c r="P21" s="26" t="str">
        <f aca="false">IFERROR(VLOOKUP(P68,'Dados extraidos'!$M$3:$N$100,2,),"")</f>
        <v/>
      </c>
      <c r="Q21" s="26" t="str">
        <f aca="false">IFERROR(VLOOKUP(Q68,'Dados extraidos'!$M$3:$N$100,2,),"")</f>
        <v/>
      </c>
      <c r="R21" s="26" t="str">
        <f aca="false">IFERROR(VLOOKUP(R68,'Dados extraidos'!$M$3:$N$100,2,),"")</f>
        <v/>
      </c>
      <c r="S21" s="10"/>
      <c r="T21" s="10"/>
      <c r="U21" s="10"/>
      <c r="V21" s="10"/>
    </row>
    <row r="22" customFormat="false" ht="12.75" hidden="false" customHeight="false" outlineLevel="0" collapsed="false">
      <c r="A22" s="0" t="n">
        <v>19</v>
      </c>
      <c r="B22" s="0" t="n">
        <f aca="false">B21+32</f>
        <v>608</v>
      </c>
      <c r="C22" s="25" t="n">
        <f aca="false">B22-$C$3</f>
        <v>608</v>
      </c>
      <c r="D22" s="31" t="str">
        <f aca="false">IFERROR(VLOOKUP(D47,'Dados extraidos'!$M$3:$N$100,2,),"")</f>
        <v/>
      </c>
      <c r="E22" s="31" t="str">
        <f aca="false">IFERROR(VLOOKUP(E69,'Dados extraidos'!$M$3:$N$100,2,),"")</f>
        <v/>
      </c>
      <c r="F22" s="31" t="str">
        <f aca="false">IFERROR(VLOOKUP(F69,'Dados extraidos'!$M$3:$N$100,2,),"")</f>
        <v/>
      </c>
      <c r="G22" s="31" t="str">
        <f aca="false">IFERROR(VLOOKUP(G69,'Dados extraidos'!$M$3:$N$100,2,),"")</f>
        <v/>
      </c>
      <c r="H22" s="31" t="str">
        <f aca="false">IFERROR(VLOOKUP(H69,'Dados extraidos'!$M$3:$N$100,2,),"")</f>
        <v/>
      </c>
      <c r="I22" s="31" t="str">
        <f aca="false">IFERROR(VLOOKUP(I69,'Dados extraidos'!$M$3:$N$100,2,),"")</f>
        <v/>
      </c>
      <c r="J22" s="31" t="str">
        <f aca="false">IFERROR(VLOOKUP(J69,'Dados extraidos'!$M$3:$N$100,2,),"")</f>
        <v/>
      </c>
      <c r="K22" s="31" t="str">
        <f aca="false">IFERROR(VLOOKUP(K69,'Dados extraidos'!$M$3:$N$100,2,),"")</f>
        <v/>
      </c>
      <c r="L22" s="31" t="str">
        <f aca="false">IFERROR(VLOOKUP(L69,'Dados extraidos'!$M$3:$N$100,2,),"")</f>
        <v/>
      </c>
      <c r="M22" s="31" t="str">
        <f aca="false">IFERROR(VLOOKUP(M69,'Dados extraidos'!$M$3:$N$100,2,),"")</f>
        <v/>
      </c>
      <c r="N22" s="31" t="str">
        <f aca="false">IFERROR(VLOOKUP(N69,'Dados extraidos'!$M$3:$N$100,2,),"")</f>
        <v/>
      </c>
      <c r="O22" s="31" t="str">
        <f aca="false">IFERROR(VLOOKUP(O69,'Dados extraidos'!$M$3:$N$100,2,),"")</f>
        <v/>
      </c>
      <c r="P22" s="31" t="str">
        <f aca="false">IFERROR(VLOOKUP(P69,'Dados extraidos'!$M$3:$N$100,2,),"")</f>
        <v/>
      </c>
      <c r="Q22" s="31" t="str">
        <f aca="false">IFERROR(VLOOKUP(Q69,'Dados extraidos'!$M$3:$N$100,2,),"")</f>
        <v/>
      </c>
      <c r="R22" s="31" t="str">
        <f aca="false">IFERROR(VLOOKUP(R69,'Dados extraidos'!$M$3:$N$100,2,),"")</f>
        <v/>
      </c>
      <c r="S22" s="32"/>
      <c r="T22" s="32"/>
      <c r="U22" s="32"/>
      <c r="V22" s="32"/>
    </row>
    <row r="23" customFormat="false" ht="12.75" hidden="false" customHeight="false" outlineLevel="0" collapsed="false">
      <c r="A23" s="0" t="n">
        <v>20</v>
      </c>
      <c r="B23" s="0" t="n">
        <f aca="false">B22+32</f>
        <v>640</v>
      </c>
      <c r="C23" s="25" t="n">
        <f aca="false">B23-$C$3</f>
        <v>640</v>
      </c>
      <c r="D23" s="26" t="str">
        <f aca="false">IFERROR(VLOOKUP(D48,'Dados extraidos'!$M$3:$N$100,2,),"")</f>
        <v/>
      </c>
      <c r="E23" s="26" t="str">
        <f aca="false">IFERROR(VLOOKUP(E70,'Dados extraidos'!$M$3:$N$100,2,),"")</f>
        <v/>
      </c>
      <c r="F23" s="26" t="str">
        <f aca="false">IFERROR(VLOOKUP(F70,'Dados extraidos'!$M$3:$N$100,2,),"")</f>
        <v/>
      </c>
      <c r="G23" s="26" t="str">
        <f aca="false">IFERROR(VLOOKUP(G70,'Dados extraidos'!$M$3:$N$100,2,),"")</f>
        <v/>
      </c>
      <c r="H23" s="26" t="str">
        <f aca="false">IFERROR(VLOOKUP(H70,'Dados extraidos'!$M$3:$N$100,2,),"")</f>
        <v/>
      </c>
      <c r="I23" s="26" t="str">
        <f aca="false">IFERROR(VLOOKUP(I70,'Dados extraidos'!$M$3:$N$100,2,),"")</f>
        <v/>
      </c>
      <c r="J23" s="26" t="str">
        <f aca="false">IFERROR(VLOOKUP(J70,'Dados extraidos'!$M$3:$N$100,2,),"")</f>
        <v/>
      </c>
      <c r="K23" s="26" t="str">
        <f aca="false">IFERROR(VLOOKUP(K70,'Dados extraidos'!$M$3:$N$100,2,),"")</f>
        <v/>
      </c>
      <c r="L23" s="26" t="str">
        <f aca="false">IFERROR(VLOOKUP(L70,'Dados extraidos'!$M$3:$N$100,2,),"")</f>
        <v/>
      </c>
      <c r="M23" s="26" t="str">
        <f aca="false">IFERROR(VLOOKUP(M70,'Dados extraidos'!$M$3:$N$100,2,),"")</f>
        <v/>
      </c>
      <c r="N23" s="26" t="str">
        <f aca="false">IFERROR(VLOOKUP(N70,'Dados extraidos'!$M$3:$N$100,2,),"")</f>
        <v/>
      </c>
      <c r="O23" s="26" t="str">
        <f aca="false">IFERROR(VLOOKUP(O70,'Dados extraidos'!$M$3:$N$100,2,),"")</f>
        <v/>
      </c>
      <c r="P23" s="26" t="str">
        <f aca="false">IFERROR(VLOOKUP(P70,'Dados extraidos'!$M$3:$N$100,2,),"")</f>
        <v/>
      </c>
      <c r="Q23" s="26" t="str">
        <f aca="false">IFERROR(VLOOKUP(Q70,'Dados extraidos'!$M$3:$N$100,2,),"")</f>
        <v/>
      </c>
      <c r="R23" s="26" t="str">
        <f aca="false">IFERROR(VLOOKUP(R70,'Dados extraidos'!$M$3:$N$100,2,),"")</f>
        <v/>
      </c>
      <c r="S23" s="10"/>
      <c r="T23" s="10"/>
      <c r="U23" s="10"/>
      <c r="V23" s="10"/>
    </row>
    <row r="24" customFormat="false" ht="12.75" hidden="false" customHeight="false" outlineLevel="0" collapsed="false">
      <c r="A24" s="0" t="n">
        <v>21</v>
      </c>
      <c r="B24" s="0" t="n">
        <f aca="false">B23+32</f>
        <v>672</v>
      </c>
      <c r="C24" s="25" t="n">
        <f aca="false">B24-$C$3</f>
        <v>672</v>
      </c>
      <c r="D24" s="31" t="str">
        <f aca="false">IFERROR(VLOOKUP(D49,'Dados extraidos'!$M$3:$N$100,2,),"")</f>
        <v/>
      </c>
      <c r="E24" s="31" t="str">
        <f aca="false">IFERROR(VLOOKUP(E49,'Dados extraidos'!$M$3:$N$100,2,),"")</f>
        <v/>
      </c>
      <c r="F24" s="31" t="str">
        <f aca="false">IFERROR(VLOOKUP(F49,'Dados extraidos'!$M$3:$N$100,2,),"")</f>
        <v/>
      </c>
      <c r="G24" s="31" t="str">
        <f aca="false">IFERROR(VLOOKUP(G49,'Dados extraidos'!$M$3:$N$100,2,),"")</f>
        <v/>
      </c>
      <c r="H24" s="31" t="str">
        <f aca="false">IFERROR(VLOOKUP(H49,'Dados extraidos'!$M$3:$N$100,2,),"")</f>
        <v/>
      </c>
      <c r="I24" s="31" t="str">
        <f aca="false">IFERROR(VLOOKUP(I49,'Dados extraidos'!$M$3:$N$100,2,),"")</f>
        <v/>
      </c>
      <c r="J24" s="31" t="str">
        <f aca="false">IFERROR(VLOOKUP(J49,'Dados extraidos'!$M$3:$N$100,2,),"")</f>
        <v/>
      </c>
      <c r="K24" s="31" t="str">
        <f aca="false">IFERROR(VLOOKUP(K49,'Dados extraidos'!$M$3:$N$100,2,),"")</f>
        <v/>
      </c>
      <c r="L24" s="31" t="str">
        <f aca="false">IFERROR(VLOOKUP(L49,'Dados extraidos'!$M$3:$N$100,2,),"")</f>
        <v/>
      </c>
      <c r="M24" s="31" t="str">
        <f aca="false">IFERROR(VLOOKUP(M49,'Dados extraidos'!$M$3:$N$100,2,),"")</f>
        <v/>
      </c>
      <c r="N24" s="31" t="str">
        <f aca="false">IFERROR(VLOOKUP(N49,'Dados extraidos'!$M$3:$N$100,2,),"")</f>
        <v/>
      </c>
      <c r="O24" s="31" t="str">
        <f aca="false">IFERROR(VLOOKUP(O49,'Dados extraidos'!$M$3:$N$100,2,),"")</f>
        <v/>
      </c>
      <c r="P24" s="31" t="str">
        <f aca="false">IFERROR(VLOOKUP(P49,'Dados extraidos'!$M$3:$N$100,2,),"")</f>
        <v/>
      </c>
      <c r="Q24" s="31" t="str">
        <f aca="false">IFERROR(VLOOKUP(Q49,'Dados extraidos'!$M$3:$N$100,2,),"")</f>
        <v/>
      </c>
      <c r="R24" s="31" t="str">
        <f aca="false">IFERROR(VLOOKUP(R49,'Dados extraidos'!$M$3:$N$100,2,),"")</f>
        <v/>
      </c>
      <c r="S24" s="32"/>
      <c r="T24" s="32"/>
      <c r="U24" s="32"/>
      <c r="V24" s="32"/>
    </row>
    <row r="25" customFormat="false" ht="12.8" hidden="false" customHeight="false" outlineLevel="0" collapsed="false">
      <c r="A25" s="0" t="s">
        <v>3</v>
      </c>
      <c r="C25" s="25" t="s">
        <v>3</v>
      </c>
      <c r="D25" s="33" t="n">
        <f aca="false">IFERROR(VLOOKUP(D2,'Dados extraidos'!$L$3:$O$100,4,0),"")</f>
        <v>0</v>
      </c>
      <c r="E25" s="33" t="str">
        <f aca="false">IFERROR(VLOOKUP(E2,'Dados extraidos'!$L$3:$O$100,4,0),"")</f>
        <v/>
      </c>
      <c r="F25" s="33" t="n">
        <f aca="false">IFERROR(VLOOKUP(F2,'Dados extraidos'!$L$3:$O$100,4,0),"")</f>
        <v>757.5</v>
      </c>
      <c r="G25" s="33" t="n">
        <f aca="false">IFERROR(VLOOKUP(G2,'Dados extraidos'!$L$3:$O$100,4,0),"")</f>
        <v>1522.5</v>
      </c>
      <c r="H25" s="33" t="str">
        <f aca="false">IFERROR(VLOOKUP(H2,'Dados extraidos'!$L$3:$O$100,4,0),"")</f>
        <v/>
      </c>
      <c r="I25" s="33" t="str">
        <f aca="false">IFERROR(VLOOKUP(I2,'Dados extraidos'!$L$3:$O$100,4,0),"")</f>
        <v/>
      </c>
      <c r="J25" s="33" t="str">
        <f aca="false">IFERROR(VLOOKUP(J2,'Dados extraidos'!$L$3:$O$100,4,0),"")</f>
        <v/>
      </c>
      <c r="K25" s="33" t="str">
        <f aca="false">IFERROR(VLOOKUP(K2,'Dados extraidos'!$L$3:$O$100,4,0),"")</f>
        <v/>
      </c>
      <c r="L25" s="33" t="str">
        <f aca="false">IFERROR(VLOOKUP(L2,'Dados extraidos'!$L$3:$O$100,4,0),"")</f>
        <v/>
      </c>
      <c r="M25" s="33" t="str">
        <f aca="false">IFERROR(VLOOKUP(M2,'Dados extraidos'!$L$3:$O$100,4,0),"")</f>
        <v/>
      </c>
      <c r="N25" s="33" t="str">
        <f aca="false">IFERROR(VLOOKUP(N2,'Dados extraidos'!$L$3:$O$100,4,0),"")</f>
        <v/>
      </c>
      <c r="O25" s="33" t="str">
        <f aca="false">IFERROR(VLOOKUP(O2,'Dados extraidos'!$L$3:$O$100,4,0),"")</f>
        <v/>
      </c>
      <c r="P25" s="33" t="str">
        <f aca="false">IFERROR(VLOOKUP(P2,'Dados extraidos'!$L$3:$O$100,4,0),"")</f>
        <v/>
      </c>
      <c r="Q25" s="33" t="str">
        <f aca="false">IFERROR(VLOOKUP(Q2,'Dados extraidos'!$L$3:$O$100,4,0),"")</f>
        <v/>
      </c>
      <c r="R25" s="33" t="n">
        <f aca="false">IFERROR(VLOOKUP(R2,'Dados extraidos'!$L$3:$O$100,4,0),"")</f>
        <v>2280</v>
      </c>
    </row>
    <row r="28" customFormat="false" ht="12.75" hidden="false" customHeight="false" outlineLevel="0" collapsed="false">
      <c r="C28" s="0" t="s">
        <v>109</v>
      </c>
      <c r="I28" s="24" t="e">
        <f aca="false">R25-I25</f>
        <v>#VALUE!</v>
      </c>
    </row>
    <row r="34" customFormat="false" ht="12.75" hidden="false" customHeight="false" outlineLevel="0" collapsed="false">
      <c r="A34" s="0" t="s">
        <v>110</v>
      </c>
      <c r="B34" s="0" t="n">
        <f aca="false">(LEFT(MID('Leitura .bpp --&gt; .csv'!A11,9,8),(SEARCH(".",MID('Leitura .bpp --&gt; .csv'!A11,9,8),1))-1))*1</f>
        <v>2280</v>
      </c>
    </row>
    <row r="35" customFormat="false" ht="12.75" hidden="false" customHeight="false" outlineLevel="0" collapsed="false">
      <c r="A35" s="0" t="s">
        <v>89</v>
      </c>
      <c r="B35" s="0" t="n">
        <f aca="false">(LEFT(MID('Leitura .bpp --&gt; .csv'!A12,9,8),(SEARCH(".",MID('Leitura .bpp --&gt; .csv'!A12,9,8),1))-1))*1</f>
        <v>440</v>
      </c>
    </row>
    <row r="36" customFormat="false" ht="12.75" hidden="false" customHeight="false" outlineLevel="0" collapsed="false">
      <c r="A36" s="0" t="s">
        <v>111</v>
      </c>
      <c r="B36" s="0" t="n">
        <f aca="false">(LEFT(MID('Leitura .bpp --&gt; .csv'!A13,9,8),(SEARCH(".",MID('Leitura .bpp --&gt; .csv'!A13,9,8),1))-1))*1</f>
        <v>15</v>
      </c>
    </row>
    <row r="51" customFormat="false" ht="12.75" hidden="false" customHeight="false" outlineLevel="0" collapsed="false">
      <c r="D51" s="0" t="str">
        <f aca="false">D$2&amp;"_"&amp;$C4</f>
        <v>1_32</v>
      </c>
      <c r="E51" s="0" t="str">
        <f aca="false">E$2&amp;"_"&amp;$C4</f>
        <v>2_32</v>
      </c>
      <c r="F51" s="0" t="str">
        <f aca="false">F$2&amp;"_"&amp;$C4</f>
        <v>3_32</v>
      </c>
      <c r="G51" s="0" t="str">
        <f aca="false">G$2&amp;"_"&amp;$C4</f>
        <v>4_32</v>
      </c>
      <c r="H51" s="0" t="str">
        <f aca="false">H$2&amp;"_"&amp;$C4</f>
        <v>5_32</v>
      </c>
      <c r="I51" s="0" t="str">
        <f aca="false">I$2&amp;"_"&amp;$C4</f>
        <v>6_32</v>
      </c>
      <c r="J51" s="0" t="str">
        <f aca="false">J$2&amp;"_"&amp;$C4</f>
        <v>7_32</v>
      </c>
      <c r="K51" s="0" t="str">
        <f aca="false">K$2&amp;"_"&amp;$C4</f>
        <v>8_32</v>
      </c>
      <c r="L51" s="0" t="str">
        <f aca="false">L$2&amp;"_"&amp;$C4</f>
        <v>9_32</v>
      </c>
      <c r="M51" s="0" t="str">
        <f aca="false">M$2&amp;"_"&amp;$C4</f>
        <v>10_32</v>
      </c>
      <c r="N51" s="0" t="str">
        <f aca="false">N$2&amp;"_"&amp;$C4</f>
        <v>11_32</v>
      </c>
      <c r="O51" s="0" t="str">
        <f aca="false">O$2&amp;"_"&amp;$C4</f>
        <v>12_32</v>
      </c>
      <c r="P51" s="0" t="str">
        <f aca="false">P$2&amp;"_"&amp;$C4</f>
        <v>13_32</v>
      </c>
      <c r="Q51" s="0" t="str">
        <f aca="false">Q$2&amp;"_"&amp;$C4</f>
        <v>14_32</v>
      </c>
      <c r="R51" s="0" t="str">
        <f aca="false">R$2&amp;"_"&amp;$C4</f>
        <v>15_32</v>
      </c>
    </row>
    <row r="52" customFormat="false" ht="12.75" hidden="false" customHeight="false" outlineLevel="0" collapsed="false">
      <c r="D52" s="0" t="str">
        <f aca="false">D$2&amp;"_"&amp;$C5</f>
        <v>1_64</v>
      </c>
      <c r="E52" s="0" t="str">
        <f aca="false">E$2&amp;"_"&amp;$C5</f>
        <v>2_64</v>
      </c>
      <c r="F52" s="0" t="str">
        <f aca="false">F$2&amp;"_"&amp;$C5</f>
        <v>3_64</v>
      </c>
      <c r="G52" s="0" t="str">
        <f aca="false">G$2&amp;"_"&amp;$C5</f>
        <v>4_64</v>
      </c>
      <c r="H52" s="0" t="str">
        <f aca="false">H$2&amp;"_"&amp;$C5</f>
        <v>5_64</v>
      </c>
      <c r="I52" s="0" t="str">
        <f aca="false">I$2&amp;"_"&amp;$C5</f>
        <v>6_64</v>
      </c>
      <c r="J52" s="0" t="str">
        <f aca="false">J$2&amp;"_"&amp;$C5</f>
        <v>7_64</v>
      </c>
      <c r="K52" s="0" t="str">
        <f aca="false">K$2&amp;"_"&amp;$C5</f>
        <v>8_64</v>
      </c>
      <c r="L52" s="0" t="str">
        <f aca="false">L$2&amp;"_"&amp;$C5</f>
        <v>9_64</v>
      </c>
      <c r="M52" s="0" t="str">
        <f aca="false">M$2&amp;"_"&amp;$C5</f>
        <v>10_64</v>
      </c>
      <c r="N52" s="0" t="str">
        <f aca="false">N$2&amp;"_"&amp;$C5</f>
        <v>11_64</v>
      </c>
      <c r="O52" s="0" t="str">
        <f aca="false">O$2&amp;"_"&amp;$C5</f>
        <v>12_64</v>
      </c>
      <c r="P52" s="0" t="str">
        <f aca="false">P$2&amp;"_"&amp;$C5</f>
        <v>13_64</v>
      </c>
      <c r="Q52" s="0" t="str">
        <f aca="false">Q$2&amp;"_"&amp;$C5</f>
        <v>14_64</v>
      </c>
      <c r="R52" s="0" t="str">
        <f aca="false">R$2&amp;"_"&amp;$C5</f>
        <v>15_64</v>
      </c>
    </row>
    <row r="53" customFormat="false" ht="12.75" hidden="false" customHeight="false" outlineLevel="0" collapsed="false">
      <c r="D53" s="0" t="str">
        <f aca="false">D$2&amp;"_"&amp;$C6</f>
        <v>1_96</v>
      </c>
      <c r="E53" s="0" t="str">
        <f aca="false">E$2&amp;"_"&amp;$C6</f>
        <v>2_96</v>
      </c>
      <c r="F53" s="0" t="str">
        <f aca="false">F$2&amp;"_"&amp;$C6</f>
        <v>3_96</v>
      </c>
      <c r="G53" s="0" t="str">
        <f aca="false">G$2&amp;"_"&amp;$C6</f>
        <v>4_96</v>
      </c>
      <c r="H53" s="0" t="str">
        <f aca="false">H$2&amp;"_"&amp;$C6</f>
        <v>5_96</v>
      </c>
      <c r="I53" s="0" t="str">
        <f aca="false">I$2&amp;"_"&amp;$C6</f>
        <v>6_96</v>
      </c>
      <c r="J53" s="0" t="str">
        <f aca="false">J$2&amp;"_"&amp;$C6</f>
        <v>7_96</v>
      </c>
      <c r="K53" s="0" t="str">
        <f aca="false">K$2&amp;"_"&amp;$C6</f>
        <v>8_96</v>
      </c>
      <c r="L53" s="0" t="str">
        <f aca="false">L$2&amp;"_"&amp;$C6</f>
        <v>9_96</v>
      </c>
      <c r="M53" s="0" t="str">
        <f aca="false">M$2&amp;"_"&amp;$C6</f>
        <v>10_96</v>
      </c>
      <c r="N53" s="0" t="str">
        <f aca="false">N$2&amp;"_"&amp;$C6</f>
        <v>11_96</v>
      </c>
      <c r="O53" s="0" t="str">
        <f aca="false">O$2&amp;"_"&amp;$C6</f>
        <v>12_96</v>
      </c>
      <c r="P53" s="0" t="str">
        <f aca="false">P$2&amp;"_"&amp;$C6</f>
        <v>13_96</v>
      </c>
      <c r="Q53" s="0" t="str">
        <f aca="false">Q$2&amp;"_"&amp;$C6</f>
        <v>14_96</v>
      </c>
      <c r="R53" s="0" t="str">
        <f aca="false">R$2&amp;"_"&amp;$C6</f>
        <v>15_96</v>
      </c>
    </row>
    <row r="54" customFormat="false" ht="12.75" hidden="false" customHeight="false" outlineLevel="0" collapsed="false">
      <c r="D54" s="0" t="str">
        <f aca="false">D$2&amp;"_"&amp;$C7</f>
        <v>1_128</v>
      </c>
      <c r="E54" s="0" t="str">
        <f aca="false">E$2&amp;"_"&amp;$C7</f>
        <v>2_128</v>
      </c>
      <c r="F54" s="0" t="str">
        <f aca="false">F$2&amp;"_"&amp;$C7</f>
        <v>3_128</v>
      </c>
      <c r="G54" s="0" t="str">
        <f aca="false">G$2&amp;"_"&amp;$C7</f>
        <v>4_128</v>
      </c>
      <c r="H54" s="0" t="str">
        <f aca="false">H$2&amp;"_"&amp;$C7</f>
        <v>5_128</v>
      </c>
      <c r="I54" s="0" t="str">
        <f aca="false">I$2&amp;"_"&amp;$C7</f>
        <v>6_128</v>
      </c>
      <c r="J54" s="0" t="str">
        <f aca="false">J$2&amp;"_"&amp;$C7</f>
        <v>7_128</v>
      </c>
      <c r="K54" s="0" t="str">
        <f aca="false">K$2&amp;"_"&amp;$C7</f>
        <v>8_128</v>
      </c>
      <c r="L54" s="0" t="str">
        <f aca="false">L$2&amp;"_"&amp;$C7</f>
        <v>9_128</v>
      </c>
      <c r="M54" s="0" t="str">
        <f aca="false">M$2&amp;"_"&amp;$C7</f>
        <v>10_128</v>
      </c>
      <c r="N54" s="0" t="str">
        <f aca="false">N$2&amp;"_"&amp;$C7</f>
        <v>11_128</v>
      </c>
      <c r="O54" s="0" t="str">
        <f aca="false">O$2&amp;"_"&amp;$C7</f>
        <v>12_128</v>
      </c>
      <c r="P54" s="0" t="str">
        <f aca="false">P$2&amp;"_"&amp;$C7</f>
        <v>13_128</v>
      </c>
      <c r="Q54" s="0" t="str">
        <f aca="false">Q$2&amp;"_"&amp;$C7</f>
        <v>14_128</v>
      </c>
      <c r="R54" s="0" t="str">
        <f aca="false">R$2&amp;"_"&amp;$C7</f>
        <v>15_128</v>
      </c>
    </row>
    <row r="55" customFormat="false" ht="12.75" hidden="false" customHeight="false" outlineLevel="0" collapsed="false">
      <c r="D55" s="0" t="str">
        <f aca="false">D$2&amp;"_"&amp;$C8</f>
        <v>1_160</v>
      </c>
      <c r="E55" s="0" t="str">
        <f aca="false">E$2&amp;"_"&amp;$C8</f>
        <v>2_160</v>
      </c>
      <c r="F55" s="0" t="str">
        <f aca="false">F$2&amp;"_"&amp;$C8</f>
        <v>3_160</v>
      </c>
      <c r="G55" s="0" t="str">
        <f aca="false">G$2&amp;"_"&amp;$C8</f>
        <v>4_160</v>
      </c>
      <c r="H55" s="0" t="str">
        <f aca="false">H$2&amp;"_"&amp;$C8</f>
        <v>5_160</v>
      </c>
      <c r="I55" s="0" t="str">
        <f aca="false">I$2&amp;"_"&amp;$C8</f>
        <v>6_160</v>
      </c>
      <c r="J55" s="0" t="str">
        <f aca="false">J$2&amp;"_"&amp;$C8</f>
        <v>7_160</v>
      </c>
      <c r="K55" s="0" t="str">
        <f aca="false">K$2&amp;"_"&amp;$C8</f>
        <v>8_160</v>
      </c>
      <c r="L55" s="0" t="str">
        <f aca="false">L$2&amp;"_"&amp;$C8</f>
        <v>9_160</v>
      </c>
      <c r="M55" s="0" t="str">
        <f aca="false">M$2&amp;"_"&amp;$C8</f>
        <v>10_160</v>
      </c>
      <c r="N55" s="0" t="str">
        <f aca="false">N$2&amp;"_"&amp;$C8</f>
        <v>11_160</v>
      </c>
      <c r="O55" s="0" t="str">
        <f aca="false">O$2&amp;"_"&amp;$C8</f>
        <v>12_160</v>
      </c>
      <c r="P55" s="0" t="str">
        <f aca="false">P$2&amp;"_"&amp;$C8</f>
        <v>13_160</v>
      </c>
      <c r="Q55" s="0" t="str">
        <f aca="false">Q$2&amp;"_"&amp;$C8</f>
        <v>14_160</v>
      </c>
      <c r="R55" s="0" t="str">
        <f aca="false">R$2&amp;"_"&amp;$C8</f>
        <v>15_160</v>
      </c>
    </row>
    <row r="56" customFormat="false" ht="12.75" hidden="false" customHeight="false" outlineLevel="0" collapsed="false">
      <c r="D56" s="0" t="str">
        <f aca="false">D$2&amp;"_"&amp;$C9</f>
        <v>1_192</v>
      </c>
      <c r="E56" s="0" t="str">
        <f aca="false">E$2&amp;"_"&amp;$C9</f>
        <v>2_192</v>
      </c>
      <c r="F56" s="0" t="str">
        <f aca="false">F$2&amp;"_"&amp;$C9</f>
        <v>3_192</v>
      </c>
      <c r="G56" s="0" t="str">
        <f aca="false">G$2&amp;"_"&amp;$C9</f>
        <v>4_192</v>
      </c>
      <c r="H56" s="0" t="str">
        <f aca="false">H$2&amp;"_"&amp;$C9</f>
        <v>5_192</v>
      </c>
      <c r="I56" s="0" t="str">
        <f aca="false">I$2&amp;"_"&amp;$C9</f>
        <v>6_192</v>
      </c>
      <c r="J56" s="0" t="str">
        <f aca="false">J$2&amp;"_"&amp;$C9</f>
        <v>7_192</v>
      </c>
      <c r="K56" s="0" t="str">
        <f aca="false">K$2&amp;"_"&amp;$C9</f>
        <v>8_192</v>
      </c>
      <c r="L56" s="0" t="str">
        <f aca="false">L$2&amp;"_"&amp;$C9</f>
        <v>9_192</v>
      </c>
      <c r="M56" s="0" t="str">
        <f aca="false">M$2&amp;"_"&amp;$C9</f>
        <v>10_192</v>
      </c>
      <c r="N56" s="0" t="str">
        <f aca="false">N$2&amp;"_"&amp;$C9</f>
        <v>11_192</v>
      </c>
      <c r="O56" s="0" t="str">
        <f aca="false">O$2&amp;"_"&amp;$C9</f>
        <v>12_192</v>
      </c>
      <c r="P56" s="0" t="str">
        <f aca="false">P$2&amp;"_"&amp;$C9</f>
        <v>13_192</v>
      </c>
      <c r="Q56" s="0" t="str">
        <f aca="false">Q$2&amp;"_"&amp;$C9</f>
        <v>14_192</v>
      </c>
      <c r="R56" s="0" t="str">
        <f aca="false">R$2&amp;"_"&amp;$C9</f>
        <v>15_192</v>
      </c>
    </row>
    <row r="57" customFormat="false" ht="12.75" hidden="false" customHeight="false" outlineLevel="0" collapsed="false">
      <c r="D57" s="0" t="str">
        <f aca="false">D$2&amp;"_"&amp;$C10</f>
        <v>1_224</v>
      </c>
      <c r="E57" s="0" t="str">
        <f aca="false">E$2&amp;"_"&amp;$C10</f>
        <v>2_224</v>
      </c>
      <c r="F57" s="0" t="str">
        <f aca="false">F$2&amp;"_"&amp;$C10</f>
        <v>3_224</v>
      </c>
      <c r="G57" s="0" t="str">
        <f aca="false">G$2&amp;"_"&amp;$C10</f>
        <v>4_224</v>
      </c>
      <c r="H57" s="0" t="str">
        <f aca="false">H$2&amp;"_"&amp;$C10</f>
        <v>5_224</v>
      </c>
      <c r="I57" s="0" t="str">
        <f aca="false">I$2&amp;"_"&amp;$C10</f>
        <v>6_224</v>
      </c>
      <c r="J57" s="0" t="str">
        <f aca="false">J$2&amp;"_"&amp;$C10</f>
        <v>7_224</v>
      </c>
      <c r="K57" s="0" t="str">
        <f aca="false">K$2&amp;"_"&amp;$C10</f>
        <v>8_224</v>
      </c>
      <c r="L57" s="0" t="str">
        <f aca="false">L$2&amp;"_"&amp;$C10</f>
        <v>9_224</v>
      </c>
      <c r="M57" s="0" t="str">
        <f aca="false">M$2&amp;"_"&amp;$C10</f>
        <v>10_224</v>
      </c>
      <c r="N57" s="0" t="str">
        <f aca="false">N$2&amp;"_"&amp;$C10</f>
        <v>11_224</v>
      </c>
      <c r="O57" s="0" t="str">
        <f aca="false">O$2&amp;"_"&amp;$C10</f>
        <v>12_224</v>
      </c>
      <c r="P57" s="0" t="str">
        <f aca="false">P$2&amp;"_"&amp;$C10</f>
        <v>13_224</v>
      </c>
      <c r="Q57" s="0" t="str">
        <f aca="false">Q$2&amp;"_"&amp;$C10</f>
        <v>14_224</v>
      </c>
      <c r="R57" s="0" t="str">
        <f aca="false">R$2&amp;"_"&amp;$C10</f>
        <v>15_224</v>
      </c>
    </row>
    <row r="58" customFormat="false" ht="12.75" hidden="false" customHeight="false" outlineLevel="0" collapsed="false">
      <c r="D58" s="0" t="str">
        <f aca="false">D$2&amp;"_"&amp;$C11</f>
        <v>1_256</v>
      </c>
      <c r="E58" s="0" t="str">
        <f aca="false">E$2&amp;"_"&amp;$C11</f>
        <v>2_256</v>
      </c>
      <c r="F58" s="0" t="str">
        <f aca="false">F$2&amp;"_"&amp;$C11</f>
        <v>3_256</v>
      </c>
      <c r="G58" s="0" t="str">
        <f aca="false">G$2&amp;"_"&amp;$C11</f>
        <v>4_256</v>
      </c>
      <c r="H58" s="0" t="str">
        <f aca="false">H$2&amp;"_"&amp;$C11</f>
        <v>5_256</v>
      </c>
      <c r="I58" s="0" t="str">
        <f aca="false">I$2&amp;"_"&amp;$C11</f>
        <v>6_256</v>
      </c>
      <c r="J58" s="0" t="str">
        <f aca="false">J$2&amp;"_"&amp;$C11</f>
        <v>7_256</v>
      </c>
      <c r="K58" s="0" t="str">
        <f aca="false">K$2&amp;"_"&amp;$C11</f>
        <v>8_256</v>
      </c>
      <c r="L58" s="0" t="str">
        <f aca="false">L$2&amp;"_"&amp;$C11</f>
        <v>9_256</v>
      </c>
      <c r="M58" s="0" t="str">
        <f aca="false">M$2&amp;"_"&amp;$C11</f>
        <v>10_256</v>
      </c>
      <c r="N58" s="0" t="str">
        <f aca="false">N$2&amp;"_"&amp;$C11</f>
        <v>11_256</v>
      </c>
      <c r="O58" s="0" t="str">
        <f aca="false">O$2&amp;"_"&amp;$C11</f>
        <v>12_256</v>
      </c>
      <c r="P58" s="0" t="str">
        <f aca="false">P$2&amp;"_"&amp;$C11</f>
        <v>13_256</v>
      </c>
      <c r="Q58" s="0" t="str">
        <f aca="false">Q$2&amp;"_"&amp;$C11</f>
        <v>14_256</v>
      </c>
      <c r="R58" s="0" t="str">
        <f aca="false">R$2&amp;"_"&amp;$C11</f>
        <v>15_256</v>
      </c>
    </row>
    <row r="59" customFormat="false" ht="12.75" hidden="false" customHeight="false" outlineLevel="0" collapsed="false">
      <c r="D59" s="0" t="str">
        <f aca="false">D$2&amp;"_"&amp;$C12</f>
        <v>1_288</v>
      </c>
      <c r="E59" s="0" t="str">
        <f aca="false">E$2&amp;"_"&amp;$C12</f>
        <v>2_288</v>
      </c>
      <c r="F59" s="0" t="str">
        <f aca="false">F$2&amp;"_"&amp;$C12</f>
        <v>3_288</v>
      </c>
      <c r="G59" s="0" t="str">
        <f aca="false">G$2&amp;"_"&amp;$C12</f>
        <v>4_288</v>
      </c>
      <c r="H59" s="0" t="str">
        <f aca="false">H$2&amp;"_"&amp;$C12</f>
        <v>5_288</v>
      </c>
      <c r="I59" s="0" t="str">
        <f aca="false">I$2&amp;"_"&amp;$C12</f>
        <v>6_288</v>
      </c>
      <c r="J59" s="0" t="str">
        <f aca="false">J$2&amp;"_"&amp;$C12</f>
        <v>7_288</v>
      </c>
      <c r="K59" s="0" t="str">
        <f aca="false">K$2&amp;"_"&amp;$C12</f>
        <v>8_288</v>
      </c>
      <c r="L59" s="0" t="str">
        <f aca="false">L$2&amp;"_"&amp;$C12</f>
        <v>9_288</v>
      </c>
      <c r="M59" s="0" t="str">
        <f aca="false">M$2&amp;"_"&amp;$C12</f>
        <v>10_288</v>
      </c>
      <c r="N59" s="0" t="str">
        <f aca="false">N$2&amp;"_"&amp;$C12</f>
        <v>11_288</v>
      </c>
      <c r="O59" s="0" t="str">
        <f aca="false">O$2&amp;"_"&amp;$C12</f>
        <v>12_288</v>
      </c>
      <c r="P59" s="0" t="str">
        <f aca="false">P$2&amp;"_"&amp;$C12</f>
        <v>13_288</v>
      </c>
      <c r="Q59" s="0" t="str">
        <f aca="false">Q$2&amp;"_"&amp;$C12</f>
        <v>14_288</v>
      </c>
      <c r="R59" s="0" t="str">
        <f aca="false">R$2&amp;"_"&amp;$C12</f>
        <v>15_288</v>
      </c>
    </row>
    <row r="60" customFormat="false" ht="12.75" hidden="false" customHeight="false" outlineLevel="0" collapsed="false">
      <c r="D60" s="0" t="str">
        <f aca="false">D$2&amp;"_"&amp;$C13</f>
        <v>1_320</v>
      </c>
      <c r="E60" s="0" t="str">
        <f aca="false">E$2&amp;"_"&amp;$C13</f>
        <v>2_320</v>
      </c>
      <c r="F60" s="0" t="str">
        <f aca="false">F$2&amp;"_"&amp;$C13</f>
        <v>3_320</v>
      </c>
      <c r="G60" s="0" t="str">
        <f aca="false">G$2&amp;"_"&amp;$C13</f>
        <v>4_320</v>
      </c>
      <c r="H60" s="0" t="str">
        <f aca="false">H$2&amp;"_"&amp;$C13</f>
        <v>5_320</v>
      </c>
      <c r="I60" s="0" t="str">
        <f aca="false">I$2&amp;"_"&amp;$C13</f>
        <v>6_320</v>
      </c>
      <c r="J60" s="0" t="str">
        <f aca="false">J$2&amp;"_"&amp;$C13</f>
        <v>7_320</v>
      </c>
      <c r="K60" s="0" t="str">
        <f aca="false">K$2&amp;"_"&amp;$C13</f>
        <v>8_320</v>
      </c>
      <c r="L60" s="0" t="str">
        <f aca="false">L$2&amp;"_"&amp;$C13</f>
        <v>9_320</v>
      </c>
      <c r="M60" s="0" t="str">
        <f aca="false">M$2&amp;"_"&amp;$C13</f>
        <v>10_320</v>
      </c>
      <c r="N60" s="0" t="str">
        <f aca="false">N$2&amp;"_"&amp;$C13</f>
        <v>11_320</v>
      </c>
      <c r="O60" s="0" t="str">
        <f aca="false">O$2&amp;"_"&amp;$C13</f>
        <v>12_320</v>
      </c>
      <c r="P60" s="0" t="str">
        <f aca="false">P$2&amp;"_"&amp;$C13</f>
        <v>13_320</v>
      </c>
      <c r="Q60" s="0" t="str">
        <f aca="false">Q$2&amp;"_"&amp;$C13</f>
        <v>14_320</v>
      </c>
      <c r="R60" s="0" t="str">
        <f aca="false">R$2&amp;"_"&amp;$C13</f>
        <v>15_320</v>
      </c>
    </row>
    <row r="61" customFormat="false" ht="12.75" hidden="false" customHeight="false" outlineLevel="0" collapsed="false">
      <c r="D61" s="0" t="str">
        <f aca="false">D$2&amp;"_"&amp;$C14</f>
        <v>1_352</v>
      </c>
      <c r="E61" s="0" t="str">
        <f aca="false">E$2&amp;"_"&amp;$C14</f>
        <v>2_352</v>
      </c>
      <c r="F61" s="0" t="str">
        <f aca="false">F$2&amp;"_"&amp;$C14</f>
        <v>3_352</v>
      </c>
      <c r="G61" s="0" t="str">
        <f aca="false">G$2&amp;"_"&amp;$C14</f>
        <v>4_352</v>
      </c>
      <c r="H61" s="0" t="str">
        <f aca="false">H$2&amp;"_"&amp;$C14</f>
        <v>5_352</v>
      </c>
      <c r="I61" s="0" t="str">
        <f aca="false">I$2&amp;"_"&amp;$C14</f>
        <v>6_352</v>
      </c>
      <c r="J61" s="0" t="str">
        <f aca="false">J$2&amp;"_"&amp;$C14</f>
        <v>7_352</v>
      </c>
      <c r="K61" s="0" t="str">
        <f aca="false">K$2&amp;"_"&amp;$C14</f>
        <v>8_352</v>
      </c>
      <c r="L61" s="0" t="str">
        <f aca="false">L$2&amp;"_"&amp;$C14</f>
        <v>9_352</v>
      </c>
      <c r="M61" s="0" t="str">
        <f aca="false">M$2&amp;"_"&amp;$C14</f>
        <v>10_352</v>
      </c>
      <c r="N61" s="0" t="str">
        <f aca="false">N$2&amp;"_"&amp;$C14</f>
        <v>11_352</v>
      </c>
      <c r="O61" s="0" t="str">
        <f aca="false">O$2&amp;"_"&amp;$C14</f>
        <v>12_352</v>
      </c>
      <c r="P61" s="0" t="str">
        <f aca="false">P$2&amp;"_"&amp;$C14</f>
        <v>13_352</v>
      </c>
      <c r="Q61" s="0" t="str">
        <f aca="false">Q$2&amp;"_"&amp;$C14</f>
        <v>14_352</v>
      </c>
      <c r="R61" s="0" t="str">
        <f aca="false">R$2&amp;"_"&amp;$C14</f>
        <v>15_352</v>
      </c>
    </row>
    <row r="62" customFormat="false" ht="12.75" hidden="false" customHeight="false" outlineLevel="0" collapsed="false">
      <c r="D62" s="0" t="str">
        <f aca="false">D$2&amp;"_"&amp;$C15</f>
        <v>1_384</v>
      </c>
      <c r="E62" s="0" t="str">
        <f aca="false">E$2&amp;"_"&amp;$C15</f>
        <v>2_384</v>
      </c>
      <c r="F62" s="0" t="str">
        <f aca="false">F$2&amp;"_"&amp;$C15</f>
        <v>3_384</v>
      </c>
      <c r="G62" s="0" t="str">
        <f aca="false">G$2&amp;"_"&amp;$C15</f>
        <v>4_384</v>
      </c>
      <c r="H62" s="0" t="str">
        <f aca="false">H$2&amp;"_"&amp;$C15</f>
        <v>5_384</v>
      </c>
      <c r="I62" s="0" t="str">
        <f aca="false">I$2&amp;"_"&amp;$C15</f>
        <v>6_384</v>
      </c>
      <c r="J62" s="0" t="str">
        <f aca="false">J$2&amp;"_"&amp;$C15</f>
        <v>7_384</v>
      </c>
      <c r="K62" s="0" t="str">
        <f aca="false">K$2&amp;"_"&amp;$C15</f>
        <v>8_384</v>
      </c>
      <c r="L62" s="0" t="str">
        <f aca="false">L$2&amp;"_"&amp;$C15</f>
        <v>9_384</v>
      </c>
      <c r="M62" s="0" t="str">
        <f aca="false">M$2&amp;"_"&amp;$C15</f>
        <v>10_384</v>
      </c>
      <c r="N62" s="0" t="str">
        <f aca="false">N$2&amp;"_"&amp;$C15</f>
        <v>11_384</v>
      </c>
      <c r="O62" s="0" t="str">
        <f aca="false">O$2&amp;"_"&amp;$C15</f>
        <v>12_384</v>
      </c>
      <c r="P62" s="0" t="str">
        <f aca="false">P$2&amp;"_"&amp;$C15</f>
        <v>13_384</v>
      </c>
      <c r="Q62" s="0" t="str">
        <f aca="false">Q$2&amp;"_"&amp;$C15</f>
        <v>14_384</v>
      </c>
      <c r="R62" s="0" t="str">
        <f aca="false">R$2&amp;"_"&amp;$C15</f>
        <v>15_384</v>
      </c>
    </row>
    <row r="63" customFormat="false" ht="12.75" hidden="false" customHeight="false" outlineLevel="0" collapsed="false">
      <c r="D63" s="0" t="str">
        <f aca="false">D$2&amp;"_"&amp;$C16</f>
        <v>1_416</v>
      </c>
      <c r="E63" s="0" t="str">
        <f aca="false">E$2&amp;"_"&amp;$C16</f>
        <v>2_416</v>
      </c>
      <c r="F63" s="0" t="str">
        <f aca="false">F$2&amp;"_"&amp;$C16</f>
        <v>3_416</v>
      </c>
      <c r="G63" s="0" t="str">
        <f aca="false">G$2&amp;"_"&amp;$C16</f>
        <v>4_416</v>
      </c>
      <c r="H63" s="0" t="str">
        <f aca="false">H$2&amp;"_"&amp;$C16</f>
        <v>5_416</v>
      </c>
      <c r="I63" s="0" t="str">
        <f aca="false">I$2&amp;"_"&amp;$C16</f>
        <v>6_416</v>
      </c>
      <c r="J63" s="0" t="str">
        <f aca="false">J$2&amp;"_"&amp;$C16</f>
        <v>7_416</v>
      </c>
      <c r="K63" s="0" t="str">
        <f aca="false">K$2&amp;"_"&amp;$C16</f>
        <v>8_416</v>
      </c>
      <c r="L63" s="0" t="str">
        <f aca="false">L$2&amp;"_"&amp;$C16</f>
        <v>9_416</v>
      </c>
      <c r="M63" s="0" t="str">
        <f aca="false">M$2&amp;"_"&amp;$C16</f>
        <v>10_416</v>
      </c>
      <c r="N63" s="0" t="str">
        <f aca="false">N$2&amp;"_"&amp;$C16</f>
        <v>11_416</v>
      </c>
      <c r="O63" s="0" t="str">
        <f aca="false">O$2&amp;"_"&amp;$C16</f>
        <v>12_416</v>
      </c>
      <c r="P63" s="0" t="str">
        <f aca="false">P$2&amp;"_"&amp;$C16</f>
        <v>13_416</v>
      </c>
      <c r="Q63" s="0" t="str">
        <f aca="false">Q$2&amp;"_"&amp;$C16</f>
        <v>14_416</v>
      </c>
      <c r="R63" s="0" t="str">
        <f aca="false">R$2&amp;"_"&amp;$C16</f>
        <v>15_416</v>
      </c>
    </row>
    <row r="64" customFormat="false" ht="12.75" hidden="false" customHeight="false" outlineLevel="0" collapsed="false">
      <c r="D64" s="0" t="str">
        <f aca="false">D$2&amp;"_"&amp;$C17</f>
        <v>1_448</v>
      </c>
      <c r="E64" s="0" t="str">
        <f aca="false">E$2&amp;"_"&amp;$C17</f>
        <v>2_448</v>
      </c>
      <c r="F64" s="0" t="str">
        <f aca="false">F$2&amp;"_"&amp;$C17</f>
        <v>3_448</v>
      </c>
      <c r="G64" s="0" t="str">
        <f aca="false">G$2&amp;"_"&amp;$C17</f>
        <v>4_448</v>
      </c>
      <c r="H64" s="0" t="str">
        <f aca="false">H$2&amp;"_"&amp;$C17</f>
        <v>5_448</v>
      </c>
      <c r="I64" s="0" t="str">
        <f aca="false">I$2&amp;"_"&amp;$C17</f>
        <v>6_448</v>
      </c>
      <c r="J64" s="0" t="str">
        <f aca="false">J$2&amp;"_"&amp;$C17</f>
        <v>7_448</v>
      </c>
      <c r="K64" s="0" t="str">
        <f aca="false">K$2&amp;"_"&amp;$C17</f>
        <v>8_448</v>
      </c>
      <c r="L64" s="0" t="str">
        <f aca="false">L$2&amp;"_"&amp;$C17</f>
        <v>9_448</v>
      </c>
      <c r="M64" s="0" t="str">
        <f aca="false">M$2&amp;"_"&amp;$C17</f>
        <v>10_448</v>
      </c>
      <c r="N64" s="0" t="str">
        <f aca="false">N$2&amp;"_"&amp;$C17</f>
        <v>11_448</v>
      </c>
      <c r="O64" s="0" t="str">
        <f aca="false">O$2&amp;"_"&amp;$C17</f>
        <v>12_448</v>
      </c>
      <c r="P64" s="0" t="str">
        <f aca="false">P$2&amp;"_"&amp;$C17</f>
        <v>13_448</v>
      </c>
      <c r="Q64" s="0" t="str">
        <f aca="false">Q$2&amp;"_"&amp;$C17</f>
        <v>14_448</v>
      </c>
      <c r="R64" s="0" t="str">
        <f aca="false">R$2&amp;"_"&amp;$C17</f>
        <v>15_448</v>
      </c>
    </row>
    <row r="65" customFormat="false" ht="12.75" hidden="false" customHeight="false" outlineLevel="0" collapsed="false">
      <c r="D65" s="0" t="str">
        <f aca="false">D$2&amp;"_"&amp;$C18</f>
        <v>1_480</v>
      </c>
      <c r="E65" s="0" t="str">
        <f aca="false">E$2&amp;"_"&amp;$C18</f>
        <v>2_480</v>
      </c>
      <c r="F65" s="0" t="str">
        <f aca="false">F$2&amp;"_"&amp;$C18</f>
        <v>3_480</v>
      </c>
      <c r="G65" s="0" t="str">
        <f aca="false">G$2&amp;"_"&amp;$C18</f>
        <v>4_480</v>
      </c>
      <c r="H65" s="0" t="str">
        <f aca="false">H$2&amp;"_"&amp;$C18</f>
        <v>5_480</v>
      </c>
      <c r="I65" s="0" t="str">
        <f aca="false">I$2&amp;"_"&amp;$C18</f>
        <v>6_480</v>
      </c>
      <c r="J65" s="0" t="str">
        <f aca="false">J$2&amp;"_"&amp;$C18</f>
        <v>7_480</v>
      </c>
      <c r="K65" s="0" t="str">
        <f aca="false">K$2&amp;"_"&amp;$C18</f>
        <v>8_480</v>
      </c>
      <c r="L65" s="0" t="str">
        <f aca="false">L$2&amp;"_"&amp;$C18</f>
        <v>9_480</v>
      </c>
      <c r="M65" s="0" t="str">
        <f aca="false">M$2&amp;"_"&amp;$C18</f>
        <v>10_480</v>
      </c>
      <c r="N65" s="0" t="str">
        <f aca="false">N$2&amp;"_"&amp;$C18</f>
        <v>11_480</v>
      </c>
      <c r="O65" s="0" t="str">
        <f aca="false">O$2&amp;"_"&amp;$C18</f>
        <v>12_480</v>
      </c>
      <c r="P65" s="0" t="str">
        <f aca="false">P$2&amp;"_"&amp;$C18</f>
        <v>13_480</v>
      </c>
      <c r="Q65" s="0" t="str">
        <f aca="false">Q$2&amp;"_"&amp;$C18</f>
        <v>14_480</v>
      </c>
      <c r="R65" s="0" t="str">
        <f aca="false">R$2&amp;"_"&amp;$C18</f>
        <v>15_480</v>
      </c>
    </row>
    <row r="66" customFormat="false" ht="12.75" hidden="false" customHeight="false" outlineLevel="0" collapsed="false">
      <c r="D66" s="0" t="str">
        <f aca="false">D$2&amp;"_"&amp;$C19</f>
        <v>1_512</v>
      </c>
      <c r="E66" s="0" t="str">
        <f aca="false">E$2&amp;"_"&amp;$C19</f>
        <v>2_512</v>
      </c>
      <c r="F66" s="0" t="str">
        <f aca="false">F$2&amp;"_"&amp;$C19</f>
        <v>3_512</v>
      </c>
      <c r="G66" s="0" t="str">
        <f aca="false">G$2&amp;"_"&amp;$C19</f>
        <v>4_512</v>
      </c>
      <c r="H66" s="0" t="str">
        <f aca="false">H$2&amp;"_"&amp;$C19</f>
        <v>5_512</v>
      </c>
      <c r="I66" s="0" t="str">
        <f aca="false">I$2&amp;"_"&amp;$C19</f>
        <v>6_512</v>
      </c>
      <c r="J66" s="0" t="str">
        <f aca="false">J$2&amp;"_"&amp;$C19</f>
        <v>7_512</v>
      </c>
      <c r="K66" s="0" t="str">
        <f aca="false">K$2&amp;"_"&amp;$C19</f>
        <v>8_512</v>
      </c>
      <c r="L66" s="0" t="str">
        <f aca="false">L$2&amp;"_"&amp;$C19</f>
        <v>9_512</v>
      </c>
      <c r="M66" s="0" t="str">
        <f aca="false">M$2&amp;"_"&amp;$C19</f>
        <v>10_512</v>
      </c>
      <c r="N66" s="0" t="str">
        <f aca="false">N$2&amp;"_"&amp;$C19</f>
        <v>11_512</v>
      </c>
      <c r="O66" s="0" t="str">
        <f aca="false">O$2&amp;"_"&amp;$C19</f>
        <v>12_512</v>
      </c>
      <c r="P66" s="0" t="str">
        <f aca="false">P$2&amp;"_"&amp;$C19</f>
        <v>13_512</v>
      </c>
      <c r="Q66" s="0" t="str">
        <f aca="false">Q$2&amp;"_"&amp;$C19</f>
        <v>14_512</v>
      </c>
      <c r="R66" s="0" t="str">
        <f aca="false">R$2&amp;"_"&amp;$C19</f>
        <v>15_512</v>
      </c>
    </row>
    <row r="67" customFormat="false" ht="12.75" hidden="false" customHeight="false" outlineLevel="0" collapsed="false">
      <c r="D67" s="0" t="str">
        <f aca="false">D$2&amp;"_"&amp;$C20</f>
        <v>1_544</v>
      </c>
      <c r="E67" s="0" t="str">
        <f aca="false">E$2&amp;"_"&amp;$C20</f>
        <v>2_544</v>
      </c>
      <c r="F67" s="0" t="str">
        <f aca="false">F$2&amp;"_"&amp;$C20</f>
        <v>3_544</v>
      </c>
      <c r="G67" s="0" t="str">
        <f aca="false">G$2&amp;"_"&amp;$C20</f>
        <v>4_544</v>
      </c>
      <c r="H67" s="0" t="str">
        <f aca="false">H$2&amp;"_"&amp;$C20</f>
        <v>5_544</v>
      </c>
      <c r="I67" s="0" t="str">
        <f aca="false">I$2&amp;"_"&amp;$C20</f>
        <v>6_544</v>
      </c>
      <c r="J67" s="0" t="str">
        <f aca="false">J$2&amp;"_"&amp;$C20</f>
        <v>7_544</v>
      </c>
      <c r="K67" s="0" t="str">
        <f aca="false">K$2&amp;"_"&amp;$C20</f>
        <v>8_544</v>
      </c>
      <c r="L67" s="0" t="str">
        <f aca="false">L$2&amp;"_"&amp;$C20</f>
        <v>9_544</v>
      </c>
      <c r="M67" s="0" t="str">
        <f aca="false">M$2&amp;"_"&amp;$C20</f>
        <v>10_544</v>
      </c>
      <c r="N67" s="0" t="str">
        <f aca="false">N$2&amp;"_"&amp;$C20</f>
        <v>11_544</v>
      </c>
      <c r="O67" s="0" t="str">
        <f aca="false">O$2&amp;"_"&amp;$C20</f>
        <v>12_544</v>
      </c>
      <c r="P67" s="0" t="str">
        <f aca="false">P$2&amp;"_"&amp;$C20</f>
        <v>13_544</v>
      </c>
      <c r="Q67" s="0" t="str">
        <f aca="false">Q$2&amp;"_"&amp;$C20</f>
        <v>14_544</v>
      </c>
      <c r="R67" s="0" t="str">
        <f aca="false">R$2&amp;"_"&amp;$C20</f>
        <v>15_544</v>
      </c>
    </row>
    <row r="68" customFormat="false" ht="12.75" hidden="false" customHeight="false" outlineLevel="0" collapsed="false">
      <c r="D68" s="0" t="str">
        <f aca="false">D$2&amp;"_"&amp;$C21</f>
        <v>1_576</v>
      </c>
      <c r="E68" s="0" t="str">
        <f aca="false">E$2&amp;"_"&amp;$C21</f>
        <v>2_576</v>
      </c>
      <c r="F68" s="0" t="str">
        <f aca="false">F$2&amp;"_"&amp;$C21</f>
        <v>3_576</v>
      </c>
      <c r="G68" s="0" t="str">
        <f aca="false">G$2&amp;"_"&amp;$C21</f>
        <v>4_576</v>
      </c>
      <c r="H68" s="0" t="str">
        <f aca="false">H$2&amp;"_"&amp;$C21</f>
        <v>5_576</v>
      </c>
      <c r="I68" s="0" t="str">
        <f aca="false">I$2&amp;"_"&amp;$C21</f>
        <v>6_576</v>
      </c>
      <c r="J68" s="0" t="str">
        <f aca="false">J$2&amp;"_"&amp;$C21</f>
        <v>7_576</v>
      </c>
      <c r="K68" s="0" t="str">
        <f aca="false">K$2&amp;"_"&amp;$C21</f>
        <v>8_576</v>
      </c>
      <c r="L68" s="0" t="str">
        <f aca="false">L$2&amp;"_"&amp;$C21</f>
        <v>9_576</v>
      </c>
      <c r="M68" s="0" t="str">
        <f aca="false">M$2&amp;"_"&amp;$C21</f>
        <v>10_576</v>
      </c>
      <c r="N68" s="0" t="str">
        <f aca="false">N$2&amp;"_"&amp;$C21</f>
        <v>11_576</v>
      </c>
      <c r="O68" s="0" t="str">
        <f aca="false">O$2&amp;"_"&amp;$C21</f>
        <v>12_576</v>
      </c>
      <c r="P68" s="0" t="str">
        <f aca="false">P$2&amp;"_"&amp;$C21</f>
        <v>13_576</v>
      </c>
      <c r="Q68" s="0" t="str">
        <f aca="false">Q$2&amp;"_"&amp;$C21</f>
        <v>14_576</v>
      </c>
      <c r="R68" s="0" t="str">
        <f aca="false">R$2&amp;"_"&amp;$C21</f>
        <v>15_576</v>
      </c>
    </row>
    <row r="69" customFormat="false" ht="12.75" hidden="false" customHeight="false" outlineLevel="0" collapsed="false">
      <c r="D69" s="0" t="str">
        <f aca="false">D$2&amp;"_"&amp;$C22</f>
        <v>1_608</v>
      </c>
      <c r="E69" s="0" t="str">
        <f aca="false">E$2&amp;"_"&amp;$C22</f>
        <v>2_608</v>
      </c>
      <c r="F69" s="0" t="str">
        <f aca="false">F$2&amp;"_"&amp;$C22</f>
        <v>3_608</v>
      </c>
      <c r="G69" s="0" t="str">
        <f aca="false">G$2&amp;"_"&amp;$C22</f>
        <v>4_608</v>
      </c>
      <c r="H69" s="0" t="str">
        <f aca="false">H$2&amp;"_"&amp;$C22</f>
        <v>5_608</v>
      </c>
      <c r="I69" s="0" t="str">
        <f aca="false">I$2&amp;"_"&amp;$C22</f>
        <v>6_608</v>
      </c>
      <c r="J69" s="0" t="str">
        <f aca="false">J$2&amp;"_"&amp;$C22</f>
        <v>7_608</v>
      </c>
      <c r="K69" s="0" t="str">
        <f aca="false">K$2&amp;"_"&amp;$C22</f>
        <v>8_608</v>
      </c>
      <c r="L69" s="0" t="str">
        <f aca="false">L$2&amp;"_"&amp;$C22</f>
        <v>9_608</v>
      </c>
      <c r="M69" s="0" t="str">
        <f aca="false">M$2&amp;"_"&amp;$C22</f>
        <v>10_608</v>
      </c>
      <c r="N69" s="0" t="str">
        <f aca="false">N$2&amp;"_"&amp;$C22</f>
        <v>11_608</v>
      </c>
      <c r="O69" s="0" t="str">
        <f aca="false">O$2&amp;"_"&amp;$C22</f>
        <v>12_608</v>
      </c>
      <c r="P69" s="0" t="str">
        <f aca="false">P$2&amp;"_"&amp;$C22</f>
        <v>13_608</v>
      </c>
      <c r="Q69" s="0" t="str">
        <f aca="false">Q$2&amp;"_"&amp;$C22</f>
        <v>14_608</v>
      </c>
      <c r="R69" s="0" t="str">
        <f aca="false">R$2&amp;"_"&amp;$C22</f>
        <v>15_608</v>
      </c>
    </row>
    <row r="70" customFormat="false" ht="12.75" hidden="false" customHeight="false" outlineLevel="0" collapsed="false">
      <c r="D70" s="0" t="str">
        <f aca="false">D$2&amp;"_"&amp;$C23</f>
        <v>1_640</v>
      </c>
      <c r="E70" s="0" t="str">
        <f aca="false">E$2&amp;"_"&amp;$C23</f>
        <v>2_640</v>
      </c>
      <c r="F70" s="0" t="str">
        <f aca="false">F$2&amp;"_"&amp;$C23</f>
        <v>3_640</v>
      </c>
      <c r="G70" s="0" t="str">
        <f aca="false">G$2&amp;"_"&amp;$C23</f>
        <v>4_640</v>
      </c>
      <c r="H70" s="0" t="str">
        <f aca="false">H$2&amp;"_"&amp;$C23</f>
        <v>5_640</v>
      </c>
      <c r="I70" s="0" t="str">
        <f aca="false">I$2&amp;"_"&amp;$C23</f>
        <v>6_640</v>
      </c>
      <c r="J70" s="0" t="str">
        <f aca="false">J$2&amp;"_"&amp;$C23</f>
        <v>7_640</v>
      </c>
      <c r="K70" s="0" t="str">
        <f aca="false">K$2&amp;"_"&amp;$C23</f>
        <v>8_640</v>
      </c>
      <c r="L70" s="0" t="str">
        <f aca="false">L$2&amp;"_"&amp;$C23</f>
        <v>9_640</v>
      </c>
      <c r="M70" s="0" t="str">
        <f aca="false">M$2&amp;"_"&amp;$C23</f>
        <v>10_640</v>
      </c>
      <c r="N70" s="0" t="str">
        <f aca="false">N$2&amp;"_"&amp;$C23</f>
        <v>11_640</v>
      </c>
      <c r="O70" s="0" t="str">
        <f aca="false">O$2&amp;"_"&amp;$C23</f>
        <v>12_640</v>
      </c>
      <c r="P70" s="0" t="str">
        <f aca="false">P$2&amp;"_"&amp;$C23</f>
        <v>13_640</v>
      </c>
      <c r="Q70" s="0" t="str">
        <f aca="false">Q$2&amp;"_"&amp;$C23</f>
        <v>14_640</v>
      </c>
      <c r="R70" s="0" t="str">
        <f aca="false">R$2&amp;"_"&amp;$C23</f>
        <v>15_640</v>
      </c>
    </row>
    <row r="71" customFormat="false" ht="12.75" hidden="false" customHeight="false" outlineLevel="0" collapsed="false">
      <c r="D71" s="0" t="str">
        <f aca="false">D$2&amp;"_"&amp;$C24</f>
        <v>1_672</v>
      </c>
      <c r="E71" s="0" t="str">
        <f aca="false">E$2&amp;"_"&amp;$C24</f>
        <v>2_672</v>
      </c>
      <c r="F71" s="0" t="str">
        <f aca="false">F$2&amp;"_"&amp;$C24</f>
        <v>3_672</v>
      </c>
      <c r="G71" s="0" t="str">
        <f aca="false">G$2&amp;"_"&amp;$C24</f>
        <v>4_672</v>
      </c>
      <c r="H71" s="0" t="str">
        <f aca="false">H$2&amp;"_"&amp;$C24</f>
        <v>5_672</v>
      </c>
      <c r="I71" s="0" t="str">
        <f aca="false">I$2&amp;"_"&amp;$C24</f>
        <v>6_672</v>
      </c>
      <c r="J71" s="0" t="str">
        <f aca="false">J$2&amp;"_"&amp;$C24</f>
        <v>7_672</v>
      </c>
      <c r="K71" s="0" t="str">
        <f aca="false">K$2&amp;"_"&amp;$C24</f>
        <v>8_672</v>
      </c>
      <c r="L71" s="0" t="str">
        <f aca="false">L$2&amp;"_"&amp;$C24</f>
        <v>9_672</v>
      </c>
      <c r="M71" s="0" t="str">
        <f aca="false">M$2&amp;"_"&amp;$C24</f>
        <v>10_672</v>
      </c>
      <c r="N71" s="0" t="str">
        <f aca="false">N$2&amp;"_"&amp;$C24</f>
        <v>11_672</v>
      </c>
      <c r="O71" s="0" t="str">
        <f aca="false">O$2&amp;"_"&amp;$C24</f>
        <v>12_672</v>
      </c>
      <c r="P71" s="0" t="str">
        <f aca="false">P$2&amp;"_"&amp;$C24</f>
        <v>13_672</v>
      </c>
      <c r="Q71" s="0" t="str">
        <f aca="false">Q$2&amp;"_"&amp;$C24</f>
        <v>14_672</v>
      </c>
      <c r="R71" s="0" t="str">
        <f aca="false">R$2&amp;"_"&amp;$C24</f>
        <v>15_672</v>
      </c>
    </row>
  </sheetData>
  <mergeCells count="1">
    <mergeCell ref="D1:V1"/>
  </mergeCells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107</TotalTime>
  <Application>LibreOffice/5.4.7.2$Windows_X86_64 LibreOffice_project/c838ef25c16710f8838b1faec480ebba495259d0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2021-08-11T02:33:08Z</dcterms:created>
  <dc:creator>Alexandre Egevarth</dc:creator>
  <dc:description/>
  <dc:language>pt-BR</dc:language>
  <cp:lastModifiedBy/>
  <dcterms:modified xsi:type="dcterms:W3CDTF">2021-08-11T07:33:51Z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